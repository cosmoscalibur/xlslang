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Cal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<sst xmlns="http://schemas.openxmlformats.org/spreadsheetml/2006/main" count="210" uniqueCount="207">
  <si>
    <t xml:space="preserve">apple</t>
  </si>
  <si>
    <t xml:space="preserve">x</t>
  </si>
  <si>
    <t xml:space="preserve">y</t>
  </si>
  <si>
    <t xml:space="preserve">z</t>
  </si>
  <si>
    <t xml:space="preserve">banana</t>
  </si>
  <si>
    <t xml:space="preserve">cherry</t>
  </si>
  <si>
    <t xml:space="preserve">date</t>
  </si>
  <si>
    <t xml:space="preserve">fig</t>
  </si>
  <si>
    <t xml:space="preserve">SUM(Data!A1:A8)</t>
  </si>
  <si>
    <t xml:space="preserve">AVERAGE(Data!A1:A8)</t>
  </si>
  <si>
    <t xml:space="preserve">MIN(Data!A1:A8)</t>
  </si>
  <si>
    <t xml:space="preserve">MAX(Data!A1:A8)</t>
  </si>
  <si>
    <t xml:space="preserve">COUNT(Data!A1:A8)</t>
  </si>
  <si>
    <t xml:space="preserve">COUNTA(Data!B1:B9)</t>
  </si>
  <si>
    <t xml:space="preserve">MEDIAN(Data!A1:A8)</t>
  </si>
  <si>
    <t xml:space="preserve">LARGE(Data!A1:A8,2)</t>
  </si>
  <si>
    <t xml:space="preserve">SMALL(Data!A1:A8,3)</t>
  </si>
  <si>
    <t xml:space="preserve">PRODUCT(Data!A1:A3)</t>
  </si>
  <si>
    <t xml:space="preserve">SUMIF(Data!B1:B8,"apple",Data!A1:A8)</t>
  </si>
  <si>
    <t xml:space="preserve">COUNTIF(Data!B1:B8,"a*")</t>
  </si>
  <si>
    <t xml:space="preserve">COUNTIF(Data!A1:A8,"&gt;4")</t>
  </si>
  <si>
    <t xml:space="preserve">COUNTIF(Data!A1:A8,"&lt;&gt;5")</t>
  </si>
  <si>
    <t xml:space="preserve">SUMIFS(Data!A1:A8,Data!B1:B8,"apple",Data!A1:A8,"&gt;=5")</t>
  </si>
  <si>
    <t xml:space="preserve">AVERAGEIF(Data!B1:B8,"banana",Data!A1:A8)</t>
  </si>
  <si>
    <t xml:space="preserve">COUNTIFS(Data!B1:B8,"apple",Data!A1:A8,"&lt;6")</t>
  </si>
  <si>
    <t xml:space="preserve">_xlfn.MAXIFS(Data!A1:A8,Data!B1:B8,"apple")</t>
  </si>
  <si>
    <t xml:space="preserve">_xlfn.MINIFS(Data!A1:A8,Data!B1:B8,"apple")</t>
  </si>
  <si>
    <t xml:space="preserve">SUMPRODUCT(Data!A1:A8,Data!A1:A8)</t>
  </si>
  <si>
    <t xml:space="preserve">SUMPRODUCT((Data!B1:B8="apple")*(Data!A1:A8))</t>
  </si>
  <si>
    <t xml:space="preserve">COUNTBLANK(Data!B1:B9)</t>
  </si>
  <si>
    <t xml:space="preserve">SUM(Data!A:A)</t>
  </si>
  <si>
    <t xml:space="preserve">SUMSQ(Data!A1:A3)</t>
  </si>
  <si>
    <t xml:space="preserve">STDEV(Data!A1:A8)</t>
  </si>
  <si>
    <t xml:space="preserve">VAR(Data!A1:A8)</t>
  </si>
  <si>
    <t xml:space="preserve">ROUND(Data!A1/3,2)</t>
  </si>
  <si>
    <t xml:space="preserve">ROUND(2.5,0)</t>
  </si>
  <si>
    <t xml:space="preserve">ROUND(-2.5,0)</t>
  </si>
  <si>
    <t xml:space="preserve">ROUND(1.005,2)</t>
  </si>
  <si>
    <t xml:space="preserve">ROUND(1234.567,-2)</t>
  </si>
  <si>
    <t xml:space="preserve">ROUNDUP(2.341,2)</t>
  </si>
  <si>
    <t xml:space="preserve">ROUNDDOWN(-2.349,2)</t>
  </si>
  <si>
    <t xml:space="preserve">TRUNC(8.97)</t>
  </si>
  <si>
    <t xml:space="preserve">TRUNC(8.97,1)</t>
  </si>
  <si>
    <t xml:space="preserve">INT(-3.2)</t>
  </si>
  <si>
    <t xml:space="preserve">MOD(-7,3)</t>
  </si>
  <si>
    <t xml:space="preserve">MOD(7,-3)</t>
  </si>
  <si>
    <t xml:space="preserve">POWER(2,10)</t>
  </si>
  <si>
    <t xml:space="preserve">SQRT(16)</t>
  </si>
  <si>
    <t xml:space="preserve">ABS(-4)</t>
  </si>
  <si>
    <t xml:space="preserve">SIGN(-3)</t>
  </si>
  <si>
    <t xml:space="preserve">EXP(1)</t>
  </si>
  <si>
    <t xml:space="preserve">LN(10)</t>
  </si>
  <si>
    <t xml:space="preserve">LOG(100,10)</t>
  </si>
  <si>
    <t xml:space="preserve">LOG(8,2)</t>
  </si>
  <si>
    <t xml:space="preserve">LOG10(1000)</t>
  </si>
  <si>
    <t xml:space="preserve">CEILING(4.3,0.5)</t>
  </si>
  <si>
    <t xml:space="preserve">FLOOR(4.3,0.5)</t>
  </si>
  <si>
    <t xml:space="preserve">PI()</t>
  </si>
  <si>
    <t xml:space="preserve">EVEN(3)</t>
  </si>
  <si>
    <t xml:space="preserve">ODD(2)</t>
  </si>
  <si>
    <t xml:space="preserve">EVEN(-3)</t>
  </si>
  <si>
    <t xml:space="preserve">FACT(5)</t>
  </si>
  <si>
    <t xml:space="preserve">DEGREES(PI())</t>
  </si>
  <si>
    <t xml:space="preserve">SIN(PI()/2)</t>
  </si>
  <si>
    <t xml:space="preserve">ATAN2(1,1)</t>
  </si>
  <si>
    <t xml:space="preserve">IF(Data!A1&gt;3,"big","small")</t>
  </si>
  <si>
    <t xml:space="preserve">IF(Data!A2&gt;3,"big","small")</t>
  </si>
  <si>
    <t xml:space="preserve">IFERROR(1/0,"err")</t>
  </si>
  <si>
    <t xml:space="preserve">_xlfn.IFNA(NA(),"na")</t>
  </si>
  <si>
    <t xml:space="preserve">AND(TRUE,1,Data!A1&gt;1)</t>
  </si>
  <si>
    <t xml:space="preserve">OR(FALSE,0,Data!A1&lt;1)</t>
  </si>
  <si>
    <t xml:space="preserve">NOT(Data!A1&gt;1)</t>
  </si>
  <si>
    <t xml:space="preserve">_xlfn.XOR(TRUE,TRUE)</t>
  </si>
  <si>
    <t xml:space="preserve">CHOOSE(2,"a","b","c")</t>
  </si>
  <si>
    <t xml:space="preserve">_xlfn.IFS(Data!A1&lt;1,"x",Data!A1&gt;1,"y")</t>
  </si>
  <si>
    <t xml:space="preserve">_xlfn.SWITCH(Data!A1,5,"five",3,"three","other")</t>
  </si>
  <si>
    <t xml:space="preserve">ISNUMBER(Data!A1)</t>
  </si>
  <si>
    <t xml:space="preserve">ISTEXT(Data!B1)</t>
  </si>
  <si>
    <t xml:space="preserve">ISBLANK(Data!B9)</t>
  </si>
  <si>
    <t xml:space="preserve">ISERROR(1/0)</t>
  </si>
  <si>
    <t xml:space="preserve">ISNA(NA())</t>
  </si>
  <si>
    <t xml:space="preserve">ISEVEN(4)</t>
  </si>
  <si>
    <t xml:space="preserve">ISODD(4)</t>
  </si>
  <si>
    <t xml:space="preserve">ISLOGICAL(TRUE)</t>
  </si>
  <si>
    <t xml:space="preserve">N(TRUE)</t>
  </si>
  <si>
    <t xml:space="preserve">LEN(Data!B2)</t>
  </si>
  <si>
    <t xml:space="preserve">UPPER(Data!B2)</t>
  </si>
  <si>
    <t xml:space="preserve">LOWER("ABC")</t>
  </si>
  <si>
    <t xml:space="preserve">PROPER("hELLO wORLD")</t>
  </si>
  <si>
    <t xml:space="preserve">TRIM("  a   b  ")</t>
  </si>
  <si>
    <t xml:space="preserve">LEFT(Data!B2,3)</t>
  </si>
  <si>
    <t xml:space="preserve">RIGHT(Data!B2,2)</t>
  </si>
  <si>
    <t xml:space="preserve">MID(Data!B2,2,3)</t>
  </si>
  <si>
    <t xml:space="preserve">FIND("n",Data!B2)</t>
  </si>
  <si>
    <t xml:space="preserve">SEARCH("AN",Data!B2)</t>
  </si>
  <si>
    <t xml:space="preserve">SEARCH("b*a",Data!B2)</t>
  </si>
  <si>
    <t xml:space="preserve">SUBSTITUTE("a-b-c","-","+")</t>
  </si>
  <si>
    <t xml:space="preserve">SUBSTITUTE("a-b-c","-","+",2)</t>
  </si>
  <si>
    <t xml:space="preserve">REPLACE("abcdef",2,3,"X")</t>
  </si>
  <si>
    <t xml:space="preserve">REPT("ab",3)</t>
  </si>
  <si>
    <t xml:space="preserve">EXACT("a","A")</t>
  </si>
  <si>
    <t xml:space="preserve">CONCATENATE("a",1,"b")</t>
  </si>
  <si>
    <t xml:space="preserve">_xlfn.CONCAT("a",Data!A1)</t>
  </si>
  <si>
    <t xml:space="preserve">_xlfn.TEXTJOIN("-",TRUE,"a","","b")</t>
  </si>
  <si>
    <t xml:space="preserve">VALUE("12.5")</t>
  </si>
  <si>
    <t xml:space="preserve">VALUE("50%")</t>
  </si>
  <si>
    <t xml:space="preserve">TEXT(1234.567,"#,##0.00")</t>
  </si>
  <si>
    <t xml:space="preserve">TEXT(0.256,"0.0%")</t>
  </si>
  <si>
    <t xml:space="preserve">"["&amp;TEXT(5,"000")&amp;"]"</t>
  </si>
  <si>
    <t xml:space="preserve">TEXT(Data!C1,"yyyy-mm-dd")</t>
  </si>
  <si>
    <t xml:space="preserve">TEXT(Data!C1,"dddd")</t>
  </si>
  <si>
    <t xml:space="preserve">TEXT(Data!C1,"mmm d, yyyy")</t>
  </si>
  <si>
    <t xml:space="preserve">TEXT(-3.5,"0.0;(0.0)")</t>
  </si>
  <si>
    <t xml:space="preserve">CHAR(65)</t>
  </si>
  <si>
    <t xml:space="preserve">CODE("A")</t>
  </si>
  <si>
    <t xml:space="preserve">FIXED(1234.567,1)</t>
  </si>
  <si>
    <t xml:space="preserve">"["&amp;(0.1+0.2)&amp;"]"</t>
  </si>
  <si>
    <t xml:space="preserve">"["&amp;(1/3)&amp;"]"</t>
  </si>
  <si>
    <t xml:space="preserve">"["&amp;100000000000000000000&amp;"]"</t>
  </si>
  <si>
    <t xml:space="preserve">"["&amp;0.00001&amp;"]"</t>
  </si>
  <si>
    <t xml:space="preserve">"["&amp;1234567.891&amp;"]"</t>
  </si>
  <si>
    <t xml:space="preserve">"["&amp;-0.5&amp;"]"</t>
  </si>
  <si>
    <t xml:space="preserve">VLOOKUP("cherry",Data!B1:C8,2,FALSE)</t>
  </si>
  <si>
    <t xml:space="preserve">VLOOKUP("zzz",Data!B1:C8,2,FALSE)</t>
  </si>
  <si>
    <t xml:space="preserve">VLOOKUP(4,Data!A1:C8,3,TRUE)</t>
  </si>
  <si>
    <t xml:space="preserve">HLOOKUP("y",Data!E1:G2,2,FALSE)</t>
  </si>
  <si>
    <t xml:space="preserve">MATCH("cherry",Data!B1:B8,0)</t>
  </si>
  <si>
    <t xml:space="preserve">MATCH("ch*",Data!B1:B8,0)</t>
  </si>
  <si>
    <t xml:space="preserve">MATCH(6,Data!H1:H5,1)</t>
  </si>
  <si>
    <t xml:space="preserve">MATCH(6,Data!I1:I5,-1)</t>
  </si>
  <si>
    <t xml:space="preserve">INDEX(Data!A1:A8,3)</t>
  </si>
  <si>
    <t xml:space="preserve">INDEX(Data!A1:C8,2,1)</t>
  </si>
  <si>
    <t xml:space="preserve">SUM(INDEX(Data!A1:C8,0,1))</t>
  </si>
  <si>
    <t xml:space="preserve">SUM(INDEX(Data!A1:C8,2,0))</t>
  </si>
  <si>
    <t xml:space="preserve">_xlfn.XLOOKUP("cherry",Data!B1:B8,Data!A1:A8)</t>
  </si>
  <si>
    <t xml:space="preserve">_xlfn.XLOOKUP("q",Data!B1:B8,Data!A1:A8,"none")</t>
  </si>
  <si>
    <t xml:space="preserve">ROW(Data!A5)</t>
  </si>
  <si>
    <t xml:space="preserve">COLUMN(Data!C1)</t>
  </si>
  <si>
    <t xml:space="preserve">ROWS(Data!A1:C8)</t>
  </si>
  <si>
    <t xml:space="preserve">COLUMNS(Data!A1:C8)</t>
  </si>
  <si>
    <t xml:space="preserve">ADDRESS(2,3)</t>
  </si>
  <si>
    <t xml:space="preserve">ADDRESS(2,3,4)</t>
  </si>
  <si>
    <t xml:space="preserve">OFFSET(Data!A1,2,0)</t>
  </si>
  <si>
    <t xml:space="preserve">SUM(OFFSET(Data!A1,0,0,3,1))</t>
  </si>
  <si>
    <t xml:space="preserve">INDIRECT("Data!A3")</t>
  </si>
  <si>
    <t xml:space="preserve">SUM(INDIRECT("Data!A1:A3"))</t>
  </si>
  <si>
    <t xml:space="preserve">INDIRECT("Data!B"&amp;2)</t>
  </si>
  <si>
    <t xml:space="preserve">DATE(2024,1,31)</t>
  </si>
  <si>
    <t xml:space="preserve">DATE(2024,14,1)</t>
  </si>
  <si>
    <t xml:space="preserve">DATE(2024,3,0)</t>
  </si>
  <si>
    <t xml:space="preserve">DATE(1900,3,1)</t>
  </si>
  <si>
    <t xml:space="preserve">DATE(2024,2,29)+1</t>
  </si>
  <si>
    <t xml:space="preserve">YEAR(Data!C1)</t>
  </si>
  <si>
    <t xml:space="preserve">MONTH(Data!C1)</t>
  </si>
  <si>
    <t xml:space="preserve">DAY(Data!C1)</t>
  </si>
  <si>
    <t xml:space="preserve">WEEKDAY(Data!C1)</t>
  </si>
  <si>
    <t xml:space="preserve">WEEKDAY(Data!C1,2)</t>
  </si>
  <si>
    <t xml:space="preserve">EDATE(DATE(2024,1,31),1)</t>
  </si>
  <si>
    <t xml:space="preserve">EDATE(DATE(2024,3,31),-1)</t>
  </si>
  <si>
    <t xml:space="preserve">EOMONTH(Data!C1,0)</t>
  </si>
  <si>
    <t xml:space="preserve">EOMONTH(Data!C1,2)</t>
  </si>
  <si>
    <t xml:space="preserve">_xlfn.DAYS(Data!C2,Data!C1)</t>
  </si>
  <si>
    <t xml:space="preserve">DATEDIF(Data!C1,Data!C2,"M")</t>
  </si>
  <si>
    <t xml:space="preserve">DATEDIF(Data!C1,Data!C2,"D")</t>
  </si>
  <si>
    <t xml:space="preserve">DATEDIF(DATE(2020,1,15),DATE(2024,1,14),"Y")</t>
  </si>
  <si>
    <t xml:space="preserve">HOUR(0.75)</t>
  </si>
  <si>
    <t xml:space="preserve">MINUTE(0.7512)</t>
  </si>
  <si>
    <t xml:space="preserve">SECOND(0.7512)</t>
  </si>
  <si>
    <t xml:space="preserve">TIME(13,30,0)</t>
  </si>
  <si>
    <t xml:space="preserve">DATEVALUE("2024-03-01")</t>
  </si>
  <si>
    <t xml:space="preserve">PMT(0.01,12,-1000)</t>
  </si>
  <si>
    <t xml:space="preserve">PMT(0.05/12,360,200000)</t>
  </si>
  <si>
    <t xml:space="preserve">FV(0.05,10,-100)</t>
  </si>
  <si>
    <t xml:space="preserve">PV(0.05,10,-100)</t>
  </si>
  <si>
    <t xml:space="preserve">NPV(0.1,100,200,300)</t>
  </si>
  <si>
    <t xml:space="preserve">IRR(Data!J1:J5)</t>
  </si>
  <si>
    <t xml:space="preserve">-2^2</t>
  </si>
  <si>
    <t xml:space="preserve">2^-1</t>
  </si>
  <si>
    <t xml:space="preserve">2^3^2</t>
  </si>
  <si>
    <t xml:space="preserve">10%*3</t>
  </si>
  <si>
    <t xml:space="preserve">"3"+1</t>
  </si>
  <si>
    <t xml:space="preserve">TRUE+1</t>
  </si>
  <si>
    <t xml:space="preserve">"a"&amp;"b"</t>
  </si>
  <si>
    <t xml:space="preserve">1="1"</t>
  </si>
  <si>
    <t xml:space="preserve">"a"&lt;"B"</t>
  </si>
  <si>
    <t xml:space="preserve">"abc"="ABC"</t>
  </si>
  <si>
    <t xml:space="preserve">1&lt;"a"</t>
  </si>
  <si>
    <t xml:space="preserve">(1+2)*3</t>
  </si>
  <si>
    <t xml:space="preserve">7/2</t>
  </si>
  <si>
    <t xml:space="preserve">-(-3)</t>
  </si>
  <si>
    <t xml:space="preserve">Data!A1:A3*2</t>
  </si>
  <si>
    <t xml:space="preserve">SUM(Data!A1:A3*2)</t>
  </si>
  <si>
    <t xml:space="preserve">SUM(Data!A1:A3&gt;3)</t>
  </si>
  <si>
    <t xml:space="preserve">1/0</t>
  </si>
  <si>
    <t xml:space="preserve">SQRT(-1)</t>
  </si>
  <si>
    <t xml:space="preserve">NA()</t>
  </si>
  <si>
    <t xml:space="preserve">"a"+1</t>
  </si>
  <si>
    <t xml:space="preserve">0^0</t>
  </si>
  <si>
    <t xml:space="preserve">LN(0)</t>
  </si>
  <si>
    <t xml:space="preserve">VALUE("abc")</t>
  </si>
  <si>
    <t xml:space="preserve">MATCH(99,Data!A1:A8,0)</t>
  </si>
  <si>
    <t xml:space="preserve">INDEX(Data!A1:A8,99)</t>
  </si>
  <si>
    <t xml:space="preserve">SUMPRODUCT(LEN(Data!B1:B3))</t>
  </si>
  <si>
    <t xml:space="preserve">SUMPRODUCT(--(Data!A1:A8&gt;4))</t>
  </si>
  <si>
    <t xml:space="preserve">Data!A1+Data!B1</t>
  </si>
  <si>
    <t xml:space="preserve">#REF!+1</t>
  </si>
  <si>
    <t xml:space="preserve">ISERROR(Data!A1/0)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</si>
</sst>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General"/>
    <numFmt numFmtId="167" formatCode="mm/dd/yy"/>
    <numFmt numFmtId="168" formatCode="hh:mm:ss\ AM/PM"/>
    <numFmt numFmtId="169" formatCode="[$$-409]#,##0.00;[RED]\-[$$-409]#,##0.00"/>
    <numFmt numFmtId="170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5</v>
      </c>
      <c r="B1" s="0" t="s">
        <v>0</v>
      </c>
      <c r="C1" s="1" t="n">
        <v>45306</v>
      </c>
      <c r="E1" s="2" t="s">
        <v>1</v>
      </c>
      <c r="F1" s="2" t="s">
        <v>2</v>
      </c>
      <c r="G1" s="2" t="s">
        <v>3</v>
      </c>
      <c r="H1" s="0" t="n">
        <v>1</v>
      </c>
      <c r="I1" s="0" t="n">
        <v>9</v>
      </c>
      <c r="J1" s="0" t="n">
        <v>-100</v>
      </c>
    </row>
    <row r="2" customFormat="false" ht="15" hidden="false" customHeight="false" outlineLevel="0" collapsed="false">
      <c r="A2" s="0" t="n">
        <v>3</v>
      </c>
      <c r="B2" s="0" t="s">
        <v>4</v>
      </c>
      <c r="C2" s="1" t="n">
        <v>45338</v>
      </c>
      <c r="E2" s="0" t="n">
        <v>10</v>
      </c>
      <c r="F2" s="0" t="n">
        <v>20</v>
      </c>
      <c r="G2" s="0" t="n">
        <v>30</v>
      </c>
      <c r="H2" s="0" t="n">
        <v>3</v>
      </c>
      <c r="I2" s="0" t="n">
        <v>7</v>
      </c>
      <c r="J2" s="0" t="n">
        <v>30</v>
      </c>
    </row>
    <row r="3" customFormat="false" ht="15" hidden="false" customHeight="false" outlineLevel="0" collapsed="false">
      <c r="A3" s="0" t="n">
        <v>8</v>
      </c>
      <c r="B3" s="0" t="s">
        <v>5</v>
      </c>
      <c r="C3" s="1" t="n">
        <v>45368</v>
      </c>
      <c r="H3" s="0" t="n">
        <v>5</v>
      </c>
      <c r="I3" s="0" t="n">
        <v>5</v>
      </c>
      <c r="J3" s="0" t="n">
        <v>40</v>
      </c>
    </row>
    <row r="4" customFormat="false" ht="15" hidden="false" customHeight="false" outlineLevel="0" collapsed="false">
      <c r="A4" s="0" t="n">
        <v>1</v>
      </c>
      <c r="B4" s="0" t="s">
        <v>0</v>
      </c>
      <c r="C4" s="1" t="n">
        <v>45400</v>
      </c>
      <c r="H4" s="0" t="n">
        <v>7</v>
      </c>
      <c r="I4" s="0" t="n">
        <v>3</v>
      </c>
      <c r="J4" s="0" t="n">
        <v>50</v>
      </c>
    </row>
    <row r="5" customFormat="false" ht="15" hidden="false" customHeight="false" outlineLevel="0" collapsed="false">
      <c r="A5" s="0" t="n">
        <v>9</v>
      </c>
      <c r="B5" s="0" t="s">
        <v>6</v>
      </c>
      <c r="C5" s="1" t="n">
        <v>45431</v>
      </c>
      <c r="H5" s="0" t="n">
        <v>9</v>
      </c>
      <c r="I5" s="0" t="n">
        <v>1</v>
      </c>
      <c r="J5" s="0" t="n">
        <v>60</v>
      </c>
    </row>
    <row r="6" customFormat="false" ht="15" hidden="false" customHeight="false" outlineLevel="0" collapsed="false">
      <c r="A6" s="0" t="n">
        <v>2</v>
      </c>
      <c r="B6" s="0" t="s">
        <v>4</v>
      </c>
      <c r="C6" s="1" t="n">
        <v>45463</v>
      </c>
    </row>
    <row r="7" customFormat="false" ht="15" hidden="false" customHeight="false" outlineLevel="0" collapsed="false">
      <c r="A7" s="0" t="n">
        <v>7</v>
      </c>
      <c r="B7" s="0" t="s">
        <v>0</v>
      </c>
      <c r="C7" s="1" t="n">
        <v>45494</v>
      </c>
    </row>
    <row r="8" customFormat="false" ht="15" hidden="false" customHeight="false" outlineLevel="0" collapsed="false">
      <c r="A8" s="0" t="n">
        <v>4</v>
      </c>
      <c r="B8" s="0" t="s">
        <v>7</v>
      </c>
      <c r="C8" s="1" t="n">
        <v>45526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f aca="false">SUM(Data!A1:A8)</f>
        <v>39</v>
      </c>
      <c r="B1" s="0" t="s">
        <v>8</v>
      </c>
    </row>
    <row r="2" customFormat="false" ht="15" hidden="false" customHeight="false" outlineLevel="0" collapsed="false">
      <c r="A2" s="0" t="n">
        <f aca="false">AVERAGE(Data!A1:A8)</f>
        <v>4.875</v>
      </c>
      <c r="B2" s="0" t="s">
        <v>9</v>
      </c>
    </row>
    <row r="3" customFormat="false" ht="15" hidden="false" customHeight="false" outlineLevel="0" collapsed="false">
      <c r="A3" s="0" t="n">
        <f aca="false">MIN(Data!A1:A8)</f>
        <v>1</v>
      </c>
      <c r="B3" s="0" t="s">
        <v>10</v>
      </c>
    </row>
    <row r="4" customFormat="false" ht="15" hidden="false" customHeight="false" outlineLevel="0" collapsed="false">
      <c r="A4" s="0" t="n">
        <f aca="false">MAX(Data!A1:A8)</f>
        <v>9</v>
      </c>
      <c r="B4" s="0" t="s">
        <v>11</v>
      </c>
    </row>
    <row r="5" customFormat="false" ht="15" hidden="false" customHeight="false" outlineLevel="0" collapsed="false">
      <c r="A5" s="0" t="n">
        <f aca="false">COUNT(Data!A1:A8)</f>
        <v>8</v>
      </c>
      <c r="B5" s="0" t="s">
        <v>12</v>
      </c>
    </row>
    <row r="6" customFormat="false" ht="15" hidden="false" customHeight="false" outlineLevel="0" collapsed="false">
      <c r="A6" s="0" t="n">
        <f aca="false">COUNTA(Data!B1:B9)</f>
        <v>8</v>
      </c>
      <c r="B6" s="0" t="s">
        <v>13</v>
      </c>
    </row>
    <row r="7" customFormat="false" ht="15" hidden="false" customHeight="false" outlineLevel="0" collapsed="false">
      <c r="A7" s="0" t="n">
        <f aca="false">MEDIAN(Data!A1:A8)</f>
        <v>4.5</v>
      </c>
      <c r="B7" s="0" t="s">
        <v>14</v>
      </c>
    </row>
    <row r="8" customFormat="false" ht="15" hidden="false" customHeight="false" outlineLevel="0" collapsed="false">
      <c r="A8" s="0" t="n">
        <f aca="false">LARGE(Data!A1:A8,2)</f>
        <v>8</v>
      </c>
      <c r="B8" s="0" t="s">
        <v>15</v>
      </c>
    </row>
    <row r="9" customFormat="false" ht="15" hidden="false" customHeight="false" outlineLevel="0" collapsed="false">
      <c r="A9" s="0" t="n">
        <f aca="false">SMALL(Data!A1:A8,3)</f>
        <v>3</v>
      </c>
      <c r="B9" s="0" t="s">
        <v>16</v>
      </c>
    </row>
    <row r="10" customFormat="false" ht="15" hidden="false" customHeight="false" outlineLevel="0" collapsed="false">
      <c r="A10" s="0" t="n">
        <f aca="false">PRODUCT(Data!A1:A3)</f>
        <v>120</v>
      </c>
      <c r="B10" s="0" t="s">
        <v>17</v>
      </c>
    </row>
    <row r="11" customFormat="false" ht="15" hidden="false" customHeight="false" outlineLevel="0" collapsed="false">
      <c r="A11" s="0" t="n">
        <f aca="false">SUMIF(Data!B1:B8,"apple",Data!A1:A8)</f>
        <v>13</v>
      </c>
      <c r="B11" s="0" t="s">
        <v>18</v>
      </c>
    </row>
    <row r="12" customFormat="false" ht="15" hidden="false" customHeight="false" outlineLevel="0" collapsed="false">
      <c r="A12" s="0" t="n">
        <f aca="false">COUNTIF(Data!B1:B8,"a*")</f>
        <v>3</v>
      </c>
      <c r="B12" s="0" t="s">
        <v>19</v>
      </c>
    </row>
    <row r="13" customFormat="false" ht="15" hidden="false" customHeight="false" outlineLevel="0" collapsed="false">
      <c r="A13" s="0" t="n">
        <f aca="false">COUNTIF(Data!A1:A8,"&gt;4")</f>
        <v>4</v>
      </c>
      <c r="B13" s="0" t="s">
        <v>20</v>
      </c>
    </row>
    <row r="14" customFormat="false" ht="15" hidden="false" customHeight="false" outlineLevel="0" collapsed="false">
      <c r="A14" s="0" t="n">
        <f aca="false">COUNTIF(Data!A1:A8,"&lt;&gt;5")</f>
        <v>7</v>
      </c>
      <c r="B14" s="0" t="s">
        <v>21</v>
      </c>
    </row>
    <row r="15" customFormat="false" ht="15" hidden="false" customHeight="false" outlineLevel="0" collapsed="false">
      <c r="A15" s="0" t="n">
        <f aca="false">SUMIFS(Data!A1:A8,Data!B1:B8,"apple",Data!A1:A8,"&gt;=5")</f>
        <v>12</v>
      </c>
      <c r="B15" s="0" t="s">
        <v>22</v>
      </c>
    </row>
    <row r="16" customFormat="false" ht="15" hidden="false" customHeight="false" outlineLevel="0" collapsed="false">
      <c r="A16" s="0" t="n">
        <f aca="false">AVERAGEIF(Data!B1:B8,"banana",Data!A1:A8)</f>
        <v>2.5</v>
      </c>
      <c r="B16" s="0" t="s">
        <v>23</v>
      </c>
    </row>
    <row r="17" customFormat="false" ht="15" hidden="false" customHeight="false" outlineLevel="0" collapsed="false">
      <c r="A17" s="0" t="n">
        <f aca="false">COUNTIFS(Data!B1:B8,"apple",Data!A1:A8,"&lt;6")</f>
        <v>2</v>
      </c>
      <c r="B17" s="0" t="s">
        <v>24</v>
      </c>
    </row>
    <row r="18" customFormat="false" ht="15" hidden="false" customHeight="false" outlineLevel="0" collapsed="false">
      <c r="A18" s="0" t="n">
        <f aca="false">_xlfn.MAXIFS(Data!A1:A8,Data!B1:B8,"apple")</f>
        <v>7</v>
      </c>
      <c r="B18" s="0" t="s">
        <v>25</v>
      </c>
    </row>
    <row r="19" customFormat="false" ht="15" hidden="false" customHeight="false" outlineLevel="0" collapsed="false">
      <c r="A19" s="0" t="n">
        <f aca="false">_xlfn.MINIFS(Data!A1:A8,Data!B1:B8,"apple")</f>
        <v>1</v>
      </c>
      <c r="B19" s="0" t="s">
        <v>26</v>
      </c>
    </row>
    <row r="20" customFormat="false" ht="15" hidden="false" customHeight="false" outlineLevel="0" collapsed="false">
      <c r="A20" s="0" t="n">
        <f aca="false">SUMPRODUCT(Data!A1:A8,Data!A1:A8)</f>
        <v>249</v>
      </c>
      <c r="B20" s="0" t="s">
        <v>27</v>
      </c>
    </row>
    <row r="21" customFormat="false" ht="15" hidden="false" customHeight="false" outlineLevel="0" collapsed="false">
      <c r="A21" s="0" t="n">
        <f aca="false">SUMPRODUCT((Data!B1:B8="apple")*(Data!A1:A8))</f>
        <v>13</v>
      </c>
      <c r="B21" s="0" t="s">
        <v>28</v>
      </c>
    </row>
    <row r="22" customFormat="false" ht="15" hidden="false" customHeight="false" outlineLevel="0" collapsed="false">
      <c r="A22" s="0" t="n">
        <f aca="false">COUNTBLANK(Data!B1:B9)</f>
        <v>1</v>
      </c>
      <c r="B22" s="0" t="s">
        <v>29</v>
      </c>
    </row>
    <row r="23" customFormat="false" ht="15" hidden="false" customHeight="false" outlineLevel="0" collapsed="false">
      <c r="A23" s="0" t="n">
        <f aca="false">SUM(Data!A:A)</f>
        <v>39</v>
      </c>
      <c r="B23" s="0" t="s">
        <v>30</v>
      </c>
    </row>
    <row r="24" customFormat="false" ht="15" hidden="false" customHeight="false" outlineLevel="0" collapsed="false">
      <c r="A24" s="0" t="n">
        <f aca="false">SUMSQ(Data!A1:A3)</f>
        <v>98</v>
      </c>
      <c r="B24" s="0" t="s">
        <v>31</v>
      </c>
    </row>
    <row r="25" customFormat="false" ht="15" hidden="false" customHeight="false" outlineLevel="0" collapsed="false">
      <c r="A25" s="0" t="n">
        <f aca="false">STDEV(Data!A1:A8)</f>
        <v>2.90012315009454</v>
      </c>
      <c r="B25" s="0" t="s">
        <v>32</v>
      </c>
    </row>
    <row r="26" customFormat="false" ht="15" hidden="false" customHeight="false" outlineLevel="0" collapsed="false">
      <c r="A26" s="0" t="n">
        <f aca="false">VAR(Data!A1:A8)</f>
        <v>8.41071428571429</v>
      </c>
      <c r="B26" s="0" t="s">
        <v>33</v>
      </c>
    </row>
    <row r="27" customFormat="false" ht="15" hidden="false" customHeight="false" outlineLevel="0" collapsed="false">
      <c r="A27" s="0" t="n">
        <f aca="false">ROUND(Data!A1/3,2)</f>
        <v>1.67</v>
      </c>
      <c r="B27" s="0" t="s">
        <v>34</v>
      </c>
    </row>
    <row r="28" customFormat="false" ht="15" hidden="false" customHeight="false" outlineLevel="0" collapsed="false">
      <c r="A28" s="0" t="n">
        <f aca="false">ROUND(2.5,0)</f>
        <v>3</v>
      </c>
      <c r="B28" s="0" t="s">
        <v>35</v>
      </c>
    </row>
    <row r="29" customFormat="false" ht="15" hidden="false" customHeight="false" outlineLevel="0" collapsed="false">
      <c r="A29" s="0" t="n">
        <f aca="false">ROUND(-2.5,0)</f>
        <v>-3</v>
      </c>
      <c r="B29" s="0" t="s">
        <v>36</v>
      </c>
    </row>
    <row r="30" customFormat="false" ht="15" hidden="false" customHeight="false" outlineLevel="0" collapsed="false">
      <c r="A30" s="0" t="n">
        <f aca="false">ROUND(1.005,2)</f>
        <v>1.01</v>
      </c>
      <c r="B30" s="0" t="s">
        <v>37</v>
      </c>
    </row>
    <row r="31" customFormat="false" ht="15" hidden="false" customHeight="false" outlineLevel="0" collapsed="false">
      <c r="A31" s="0" t="n">
        <f aca="false">ROUND(1234.567,-2)</f>
        <v>1200</v>
      </c>
      <c r="B31" s="0" t="s">
        <v>38</v>
      </c>
    </row>
    <row r="32" customFormat="false" ht="15" hidden="false" customHeight="false" outlineLevel="0" collapsed="false">
      <c r="A32" s="0" t="n">
        <f aca="false">ROUNDUP(2.341,2)</f>
        <v>2.35</v>
      </c>
      <c r="B32" s="0" t="s">
        <v>39</v>
      </c>
    </row>
    <row r="33" customFormat="false" ht="15" hidden="false" customHeight="false" outlineLevel="0" collapsed="false">
      <c r="A33" s="0" t="n">
        <f aca="false">ROUNDDOWN(-2.349,2)</f>
        <v>-2.34</v>
      </c>
      <c r="B33" s="0" t="s">
        <v>40</v>
      </c>
    </row>
    <row r="34" customFormat="false" ht="15" hidden="false" customHeight="false" outlineLevel="0" collapsed="false">
      <c r="A34" s="0" t="n">
        <f aca="false">TRUNC(8.97)</f>
        <v>8</v>
      </c>
      <c r="B34" s="0" t="s">
        <v>41</v>
      </c>
    </row>
    <row r="35" customFormat="false" ht="15" hidden="false" customHeight="false" outlineLevel="0" collapsed="false">
      <c r="A35" s="0" t="n">
        <f aca="false">TRUNC(8.97,1)</f>
        <v>8.9</v>
      </c>
      <c r="B35" s="0" t="s">
        <v>42</v>
      </c>
    </row>
    <row r="36" customFormat="false" ht="15" hidden="false" customHeight="false" outlineLevel="0" collapsed="false">
      <c r="A36" s="0" t="n">
        <f aca="false">INT(-3.2)</f>
        <v>-4</v>
      </c>
      <c r="B36" s="0" t="s">
        <v>43</v>
      </c>
    </row>
    <row r="37" customFormat="false" ht="15" hidden="false" customHeight="false" outlineLevel="0" collapsed="false">
      <c r="A37" s="0" t="n">
        <f aca="false">MOD(-7,3)</f>
        <v>2</v>
      </c>
      <c r="B37" s="0" t="s">
        <v>44</v>
      </c>
    </row>
    <row r="38" customFormat="false" ht="15" hidden="false" customHeight="false" outlineLevel="0" collapsed="false">
      <c r="A38" s="0" t="n">
        <f aca="false">MOD(7,-3)</f>
        <v>-2</v>
      </c>
      <c r="B38" s="0" t="s">
        <v>45</v>
      </c>
    </row>
    <row r="39" customFormat="false" ht="15" hidden="false" customHeight="false" outlineLevel="0" collapsed="false">
      <c r="A39" s="0" t="n">
        <f aca="false">POWER(2,10)</f>
        <v>1024</v>
      </c>
      <c r="B39" s="0" t="s">
        <v>46</v>
      </c>
    </row>
    <row r="40" customFormat="false" ht="15" hidden="false" customHeight="false" outlineLevel="0" collapsed="false">
      <c r="A40" s="0" t="n">
        <f aca="false">SQRT(16)</f>
        <v>4</v>
      </c>
      <c r="B40" s="0" t="s">
        <v>47</v>
      </c>
    </row>
    <row r="41" customFormat="false" ht="15" hidden="false" customHeight="false" outlineLevel="0" collapsed="false">
      <c r="A41" s="0" t="n">
        <f aca="false">ABS(-4)</f>
        <v>4</v>
      </c>
      <c r="B41" s="0" t="s">
        <v>48</v>
      </c>
    </row>
    <row r="42" customFormat="false" ht="15" hidden="false" customHeight="false" outlineLevel="0" collapsed="false">
      <c r="A42" s="0" t="n">
        <f aca="false">SIGN(-3)</f>
        <v>-1</v>
      </c>
      <c r="B42" s="0" t="s">
        <v>49</v>
      </c>
    </row>
    <row r="43" customFormat="false" ht="15" hidden="false" customHeight="false" outlineLevel="0" collapsed="false">
      <c r="A43" s="0" t="n">
        <f aca="false">EXP(1)</f>
        <v>2.71828182845905</v>
      </c>
      <c r="B43" s="0" t="s">
        <v>50</v>
      </c>
    </row>
    <row r="44" customFormat="false" ht="15" hidden="false" customHeight="false" outlineLevel="0" collapsed="false">
      <c r="A44" s="0" t="n">
        <f aca="false">LN(10)</f>
        <v>2.30258509299405</v>
      </c>
      <c r="B44" s="0" t="s">
        <v>51</v>
      </c>
    </row>
    <row r="45" customFormat="false" ht="15" hidden="false" customHeight="false" outlineLevel="0" collapsed="false">
      <c r="A45" s="0" t="n">
        <f aca="false">LOG(100,10)</f>
        <v>2</v>
      </c>
      <c r="B45" s="0" t="s">
        <v>52</v>
      </c>
    </row>
    <row r="46" customFormat="false" ht="15" hidden="false" customHeight="false" outlineLevel="0" collapsed="false">
      <c r="A46" s="0" t="n">
        <f aca="false">LOG(8,2)</f>
        <v>3</v>
      </c>
      <c r="B46" s="0" t="s">
        <v>53</v>
      </c>
    </row>
    <row r="47" customFormat="false" ht="15" hidden="false" customHeight="false" outlineLevel="0" collapsed="false">
      <c r="A47" s="0" t="n">
        <f aca="false">LOG10(1000)</f>
        <v>3</v>
      </c>
      <c r="B47" s="0" t="s">
        <v>54</v>
      </c>
    </row>
    <row r="48" customFormat="false" ht="15" hidden="false" customHeight="false" outlineLevel="0" collapsed="false">
      <c r="A48" s="0" t="n">
        <f aca="false">CEILING(4.3,0.5)</f>
        <v>4.5</v>
      </c>
      <c r="B48" s="0" t="s">
        <v>55</v>
      </c>
    </row>
    <row r="49" customFormat="false" ht="15" hidden="false" customHeight="false" outlineLevel="0" collapsed="false">
      <c r="A49" s="0" t="n">
        <f aca="false">FLOOR(4.3,0.5)</f>
        <v>4</v>
      </c>
      <c r="B49" s="0" t="s">
        <v>56</v>
      </c>
    </row>
    <row r="50" customFormat="false" ht="15" hidden="false" customHeight="false" outlineLevel="0" collapsed="false">
      <c r="A50" s="0" t="n">
        <f aca="false">PI()</f>
        <v>3.14159265358979</v>
      </c>
      <c r="B50" s="0" t="s">
        <v>57</v>
      </c>
    </row>
    <row r="51" customFormat="false" ht="15" hidden="false" customHeight="false" outlineLevel="0" collapsed="false">
      <c r="A51" s="0" t="n">
        <f aca="false">EVEN(3)</f>
        <v>4</v>
      </c>
      <c r="B51" s="0" t="s">
        <v>58</v>
      </c>
    </row>
    <row r="52" customFormat="false" ht="15" hidden="false" customHeight="false" outlineLevel="0" collapsed="false">
      <c r="A52" s="0" t="n">
        <f aca="false">ODD(2)</f>
        <v>3</v>
      </c>
      <c r="B52" s="0" t="s">
        <v>59</v>
      </c>
    </row>
    <row r="53" customFormat="false" ht="15" hidden="false" customHeight="false" outlineLevel="0" collapsed="false">
      <c r="A53" s="0" t="n">
        <f aca="false">EVEN(-3)</f>
        <v>-4</v>
      </c>
      <c r="B53" s="0" t="s">
        <v>60</v>
      </c>
    </row>
    <row r="54" customFormat="false" ht="15" hidden="false" customHeight="false" outlineLevel="0" collapsed="false">
      <c r="A54" s="0" t="n">
        <f aca="false">FACT(5)</f>
        <v>120</v>
      </c>
      <c r="B54" s="0" t="s">
        <v>61</v>
      </c>
    </row>
    <row r="55" customFormat="false" ht="15" hidden="false" customHeight="false" outlineLevel="0" collapsed="false">
      <c r="A55" s="0" t="n">
        <f aca="false">DEGREES(PI())</f>
        <v>180</v>
      </c>
      <c r="B55" s="0" t="s">
        <v>62</v>
      </c>
    </row>
    <row r="56" customFormat="false" ht="15" hidden="false" customHeight="false" outlineLevel="0" collapsed="false">
      <c r="A56" s="0" t="n">
        <f aca="false">SIN(PI()/2)</f>
        <v>1</v>
      </c>
      <c r="B56" s="0" t="s">
        <v>63</v>
      </c>
    </row>
    <row r="57" customFormat="false" ht="15" hidden="false" customHeight="false" outlineLevel="0" collapsed="false">
      <c r="A57" s="0" t="n">
        <f aca="false">ATAN2(1,1)</f>
        <v>0.785398163397448</v>
      </c>
      <c r="B57" s="0" t="s">
        <v>64</v>
      </c>
    </row>
    <row r="58" customFormat="false" ht="15" hidden="false" customHeight="false" outlineLevel="0" collapsed="false">
      <c r="A58" s="0" t="str">
        <f aca="false">IF(Data!A1&gt;3,"big","small")</f>
        <v>big</v>
      </c>
      <c r="B58" s="0" t="s">
        <v>65</v>
      </c>
    </row>
    <row r="59" customFormat="false" ht="15" hidden="false" customHeight="false" outlineLevel="0" collapsed="false">
      <c r="A59" s="0" t="str">
        <f aca="false">IF(Data!A2&gt;3,"big","small")</f>
        <v>small</v>
      </c>
      <c r="B59" s="0" t="s">
        <v>66</v>
      </c>
    </row>
    <row r="60" customFormat="false" ht="15" hidden="false" customHeight="false" outlineLevel="0" collapsed="false">
      <c r="A60" s="0" t="str">
        <f aca="false">IFERROR(1/0,"err")</f>
        <v>err</v>
      </c>
      <c r="B60" s="0" t="s">
        <v>67</v>
      </c>
    </row>
    <row r="61" customFormat="false" ht="15" hidden="false" customHeight="false" outlineLevel="0" collapsed="false">
      <c r="A61" s="0" t="str">
        <f aca="false">_xlfn.IFNA(NA(),"na")</f>
        <v>na</v>
      </c>
      <c r="B61" s="0" t="s">
        <v>68</v>
      </c>
    </row>
    <row r="62" customFormat="false" ht="15" hidden="false" customHeight="false" outlineLevel="0" collapsed="false">
      <c r="A62" s="3" t="b">
        <f aca="false">AND(TRUE(),1,Data!A1&gt;1)</f>
        <v>1</v>
      </c>
      <c r="B62" s="0" t="s">
        <v>69</v>
      </c>
    </row>
    <row r="63" customFormat="false" ht="15" hidden="false" customHeight="false" outlineLevel="0" collapsed="false">
      <c r="A63" s="3" t="b">
        <f aca="false">OR(FALSE(),0,Data!A1&lt;1)</f>
        <v>0</v>
      </c>
      <c r="B63" s="0" t="s">
        <v>70</v>
      </c>
    </row>
    <row r="64" customFormat="false" ht="15" hidden="false" customHeight="false" outlineLevel="0" collapsed="false">
      <c r="A64" s="3" t="b">
        <f aca="false">NOT(Data!A1&gt;1)</f>
        <v>0</v>
      </c>
      <c r="B64" s="0" t="s">
        <v>71</v>
      </c>
    </row>
    <row r="65" customFormat="false" ht="15" hidden="false" customHeight="false" outlineLevel="0" collapsed="false">
      <c r="A65" s="3" t="b">
        <f aca="false">_xlfn.XOR(TRUE(),TRUE())</f>
        <v>0</v>
      </c>
      <c r="B65" s="0" t="s">
        <v>72</v>
      </c>
    </row>
    <row r="66" customFormat="false" ht="15" hidden="false" customHeight="false" outlineLevel="0" collapsed="false">
      <c r="A66" s="0" t="str">
        <f aca="false">CHOOSE(2,"a","b","c")</f>
        <v>b</v>
      </c>
      <c r="B66" s="0" t="s">
        <v>73</v>
      </c>
    </row>
    <row r="67" customFormat="false" ht="15" hidden="false" customHeight="false" outlineLevel="0" collapsed="false">
      <c r="A67" s="0" t="str">
        <f aca="false">_xlfn.IFS(Data!A1&lt;1,"x",Data!A1&gt;1,"y")</f>
        <v>y</v>
      </c>
      <c r="B67" s="0" t="s">
        <v>74</v>
      </c>
    </row>
    <row r="68" customFormat="false" ht="15" hidden="false" customHeight="false" outlineLevel="0" collapsed="false">
      <c r="A68" s="0" t="str">
        <f aca="false">_xlfn.SWITCH(Data!A1,5,"five",3,"three","other")</f>
        <v>five</v>
      </c>
      <c r="B68" s="0" t="s">
        <v>75</v>
      </c>
    </row>
    <row r="69" customFormat="false" ht="15" hidden="false" customHeight="false" outlineLevel="0" collapsed="false">
      <c r="A69" s="3" t="b">
        <f aca="false">ISNUMBER(Data!A1)</f>
        <v>1</v>
      </c>
      <c r="B69" s="0" t="s">
        <v>76</v>
      </c>
    </row>
    <row r="70" customFormat="false" ht="15" hidden="false" customHeight="false" outlineLevel="0" collapsed="false">
      <c r="A70" s="3" t="b">
        <f aca="false">ISTEXT(Data!B1)</f>
        <v>1</v>
      </c>
      <c r="B70" s="0" t="s">
        <v>77</v>
      </c>
    </row>
    <row r="71" customFormat="false" ht="15" hidden="false" customHeight="false" outlineLevel="0" collapsed="false">
      <c r="A71" s="3" t="b">
        <f aca="false">ISBLANK(Data!B9)</f>
        <v>1</v>
      </c>
      <c r="B71" s="0" t="s">
        <v>78</v>
      </c>
    </row>
    <row r="72" customFormat="false" ht="15" hidden="false" customHeight="false" outlineLevel="0" collapsed="false">
      <c r="A72" s="3" t="b">
        <f aca="false">ISERROR(1/0)</f>
        <v>1</v>
      </c>
      <c r="B72" s="0" t="s">
        <v>79</v>
      </c>
    </row>
    <row r="73" customFormat="false" ht="15" hidden="false" customHeight="false" outlineLevel="0" collapsed="false">
      <c r="A73" s="3" t="b">
        <f aca="false">ISNA(NA())</f>
        <v>1</v>
      </c>
      <c r="B73" s="0" t="s">
        <v>80</v>
      </c>
    </row>
    <row r="74" customFormat="false" ht="15" hidden="false" customHeight="false" outlineLevel="0" collapsed="false">
      <c r="A74" s="3" t="b">
        <f aca="false">ISEVEN(4)</f>
        <v>1</v>
      </c>
      <c r="B74" s="0" t="s">
        <v>81</v>
      </c>
    </row>
    <row r="75" customFormat="false" ht="15" hidden="false" customHeight="false" outlineLevel="0" collapsed="false">
      <c r="A75" s="3" t="b">
        <f aca="false">ISODD(4)</f>
        <v>0</v>
      </c>
      <c r="B75" s="0" t="s">
        <v>82</v>
      </c>
    </row>
    <row r="76" customFormat="false" ht="15" hidden="false" customHeight="false" outlineLevel="0" collapsed="false">
      <c r="A76" s="3" t="b">
        <f aca="false">ISLOGICAL(TRUE())</f>
        <v>1</v>
      </c>
      <c r="B76" s="0" t="s">
        <v>83</v>
      </c>
    </row>
    <row r="77" customFormat="false" ht="15" hidden="false" customHeight="false" outlineLevel="0" collapsed="false">
      <c r="A77" s="0" t="n">
        <f aca="false">N(TRUE())</f>
        <v>1</v>
      </c>
      <c r="B77" s="0" t="s">
        <v>84</v>
      </c>
    </row>
    <row r="78" customFormat="false" ht="15" hidden="false" customHeight="false" outlineLevel="0" collapsed="false">
      <c r="A78" s="0" t="n">
        <f aca="false">LEN(Data!B2)</f>
        <v>6</v>
      </c>
      <c r="B78" s="0" t="s">
        <v>85</v>
      </c>
    </row>
    <row r="79" customFormat="false" ht="15" hidden="false" customHeight="false" outlineLevel="0" collapsed="false">
      <c r="A79" s="0" t="str">
        <f aca="false">UPPER(Data!B2)</f>
        <v>BANANA</v>
      </c>
      <c r="B79" s="0" t="s">
        <v>86</v>
      </c>
    </row>
    <row r="80" customFormat="false" ht="15" hidden="false" customHeight="false" outlineLevel="0" collapsed="false">
      <c r="A80" s="0" t="str">
        <f aca="false">LOWER("ABC")</f>
        <v>abc</v>
      </c>
      <c r="B80" s="0" t="s">
        <v>87</v>
      </c>
    </row>
    <row r="81" customFormat="false" ht="15" hidden="false" customHeight="false" outlineLevel="0" collapsed="false">
      <c r="A81" s="0" t="str">
        <f aca="false">PROPER("hELLO wORLD")</f>
        <v>Hello World</v>
      </c>
      <c r="B81" s="0" t="s">
        <v>88</v>
      </c>
    </row>
    <row r="82" customFormat="false" ht="15" hidden="false" customHeight="false" outlineLevel="0" collapsed="false">
      <c r="A82" s="0" t="str">
        <f aca="false">TRIM("  a   b  ")</f>
        <v>a b</v>
      </c>
      <c r="B82" s="0" t="s">
        <v>89</v>
      </c>
    </row>
    <row r="83" customFormat="false" ht="15" hidden="false" customHeight="false" outlineLevel="0" collapsed="false">
      <c r="A83" s="0" t="str">
        <f aca="false">LEFT(Data!B2,3)</f>
        <v>ban</v>
      </c>
      <c r="B83" s="0" t="s">
        <v>90</v>
      </c>
    </row>
    <row r="84" customFormat="false" ht="15" hidden="false" customHeight="false" outlineLevel="0" collapsed="false">
      <c r="A84" s="0" t="str">
        <f aca="false">RIGHT(Data!B2,2)</f>
        <v>na</v>
      </c>
      <c r="B84" s="0" t="s">
        <v>91</v>
      </c>
    </row>
    <row r="85" customFormat="false" ht="15" hidden="false" customHeight="false" outlineLevel="0" collapsed="false">
      <c r="A85" s="0" t="str">
        <f aca="false">MID(Data!B2,2,3)</f>
        <v>ana</v>
      </c>
      <c r="B85" s="0" t="s">
        <v>92</v>
      </c>
    </row>
    <row r="86" customFormat="false" ht="15" hidden="false" customHeight="false" outlineLevel="0" collapsed="false">
      <c r="A86" s="0" t="n">
        <f aca="false">FIND("n",Data!B2)</f>
        <v>3</v>
      </c>
      <c r="B86" s="0" t="s">
        <v>93</v>
      </c>
    </row>
    <row r="87" customFormat="false" ht="15" hidden="false" customHeight="false" outlineLevel="0" collapsed="false">
      <c r="A87" s="0" t="n">
        <f aca="false">SEARCH("AN",Data!B2)</f>
        <v>2</v>
      </c>
      <c r="B87" s="0" t="s">
        <v>94</v>
      </c>
    </row>
    <row r="88" customFormat="false" ht="15" hidden="false" customHeight="false" outlineLevel="0" collapsed="false">
      <c r="A88" s="0" t="n">
        <f aca="false">SEARCH("b*a",Data!B2)</f>
        <v>1</v>
      </c>
      <c r="B88" s="0" t="s">
        <v>95</v>
      </c>
    </row>
    <row r="89" customFormat="false" ht="15" hidden="false" customHeight="false" outlineLevel="0" collapsed="false">
      <c r="A89" s="0" t="str">
        <f aca="false">SUBSTITUTE("a-b-c","-","+")</f>
        <v>a+b+c</v>
      </c>
      <c r="B89" s="0" t="s">
        <v>96</v>
      </c>
    </row>
    <row r="90" customFormat="false" ht="15" hidden="false" customHeight="false" outlineLevel="0" collapsed="false">
      <c r="A90" s="0" t="str">
        <f aca="false">SUBSTITUTE("a-b-c","-","+",2)</f>
        <v>a-b+c</v>
      </c>
      <c r="B90" s="0" t="s">
        <v>97</v>
      </c>
    </row>
    <row r="91" customFormat="false" ht="15" hidden="false" customHeight="false" outlineLevel="0" collapsed="false">
      <c r="A91" s="0" t="str">
        <f aca="false">REPLACE("abcdef",2,3,"X")</f>
        <v>aXef</v>
      </c>
      <c r="B91" s="0" t="s">
        <v>98</v>
      </c>
    </row>
    <row r="92" customFormat="false" ht="15" hidden="false" customHeight="false" outlineLevel="0" collapsed="false">
      <c r="A92" s="0" t="str">
        <f aca="false">REPT("ab",3)</f>
        <v>ababab</v>
      </c>
      <c r="B92" s="0" t="s">
        <v>99</v>
      </c>
    </row>
    <row r="93" customFormat="false" ht="15" hidden="false" customHeight="false" outlineLevel="0" collapsed="false">
      <c r="A93" s="3" t="b">
        <f aca="false">EXACT("a","A")</f>
        <v>0</v>
      </c>
      <c r="B93" s="0" t="s">
        <v>100</v>
      </c>
    </row>
    <row r="94" customFormat="false" ht="15" hidden="false" customHeight="false" outlineLevel="0" collapsed="false">
      <c r="A94" s="0" t="str">
        <f aca="false">CONCATENATE("a",1,"b")</f>
        <v>a1b</v>
      </c>
      <c r="B94" s="0" t="s">
        <v>101</v>
      </c>
    </row>
    <row r="95" customFormat="false" ht="15" hidden="false" customHeight="false" outlineLevel="0" collapsed="false">
      <c r="A95" s="0" t="str">
        <f aca="false">_xlfn.CONCAT("a",Data!A1)</f>
        <v>a5</v>
      </c>
      <c r="B95" s="0" t="s">
        <v>102</v>
      </c>
    </row>
    <row r="96" customFormat="false" ht="15" hidden="false" customHeight="false" outlineLevel="0" collapsed="false">
      <c r="A96" s="0" t="str">
        <f aca="false">_xlfn.TEXTJOIN("-",TRUE(),"a","","b")</f>
        <v>a-b</v>
      </c>
      <c r="B96" s="0" t="s">
        <v>103</v>
      </c>
    </row>
    <row r="97" customFormat="false" ht="15" hidden="false" customHeight="false" outlineLevel="0" collapsed="false">
      <c r="A97" s="0" t="n">
        <f aca="false">VALUE("12.5")</f>
        <v>12.5</v>
      </c>
      <c r="B97" s="0" t="s">
        <v>104</v>
      </c>
    </row>
    <row r="98" customFormat="false" ht="15" hidden="false" customHeight="false" outlineLevel="0" collapsed="false">
      <c r="A98" s="0" t="n">
        <f aca="false">VALUE("50%")</f>
        <v>0.5</v>
      </c>
      <c r="B98" s="0" t="s">
        <v>105</v>
      </c>
    </row>
    <row r="99" customFormat="false" ht="15" hidden="false" customHeight="false" outlineLevel="0" collapsed="false">
      <c r="A99" s="0" t="str">
        <f aca="false">TEXT(1234.567,"#,##0.00")</f>
        <v>1,234.57</v>
      </c>
      <c r="B99" s="0" t="s">
        <v>106</v>
      </c>
    </row>
    <row r="100" customFormat="false" ht="15" hidden="false" customHeight="false" outlineLevel="0" collapsed="false">
      <c r="A100" s="0" t="str">
        <f aca="false">TEXT(0.256,"0.0%")</f>
        <v>25.6%</v>
      </c>
      <c r="B100" s="0" t="s">
        <v>107</v>
      </c>
    </row>
    <row r="101" customFormat="false" ht="15" hidden="false" customHeight="false" outlineLevel="0" collapsed="false">
      <c r="A101" s="0" t="str">
        <f aca="false">"["&amp;TEXT(5,"000")&amp;"]"</f>
        <v>[005]</v>
      </c>
      <c r="B101" s="0" t="s">
        <v>108</v>
      </c>
    </row>
    <row r="102" customFormat="false" ht="15" hidden="false" customHeight="false" outlineLevel="0" collapsed="false">
      <c r="A102" s="0" t="str">
        <f aca="false">TEXT(Data!C1,"yyyy-mm-dd")</f>
        <v>2024-01-15</v>
      </c>
      <c r="B102" s="0" t="s">
        <v>109</v>
      </c>
    </row>
    <row r="103" customFormat="false" ht="15" hidden="false" customHeight="false" outlineLevel="0" collapsed="false">
      <c r="A103" s="0" t="str">
        <f aca="false">TEXT(Data!C1,"dddd")</f>
        <v>Monday</v>
      </c>
      <c r="B103" s="0" t="s">
        <v>110</v>
      </c>
    </row>
    <row r="104" customFormat="false" ht="15" hidden="false" customHeight="false" outlineLevel="0" collapsed="false">
      <c r="A104" s="0" t="str">
        <f aca="false">TEXT(Data!C1,"mmm d, yyyy")</f>
        <v>Jan 15, 2024</v>
      </c>
      <c r="B104" s="0" t="s">
        <v>111</v>
      </c>
    </row>
    <row r="105" customFormat="false" ht="15" hidden="false" customHeight="false" outlineLevel="0" collapsed="false">
      <c r="A105" s="0" t="str">
        <f aca="false">TEXT(-3.5,"0.0;(0.0)")</f>
        <v>(3.5)</v>
      </c>
      <c r="B105" s="0" t="s">
        <v>112</v>
      </c>
    </row>
    <row r="106" customFormat="false" ht="15" hidden="false" customHeight="false" outlineLevel="0" collapsed="false">
      <c r="A106" s="0" t="str">
        <f aca="false">CHAR(65)</f>
        <v>A</v>
      </c>
      <c r="B106" s="0" t="s">
        <v>113</v>
      </c>
    </row>
    <row r="107" customFormat="false" ht="15" hidden="false" customHeight="false" outlineLevel="0" collapsed="false">
      <c r="A107" s="0" t="n">
        <f aca="false">CODE("A")</f>
        <v>65</v>
      </c>
      <c r="B107" s="0" t="s">
        <v>114</v>
      </c>
    </row>
    <row r="108" customFormat="false" ht="15" hidden="false" customHeight="false" outlineLevel="0" collapsed="false">
      <c r="A108" s="0" t="str">
        <f aca="false">FIXED(1234.567,1)</f>
        <v>1,234.6</v>
      </c>
      <c r="B108" s="0" t="s">
        <v>115</v>
      </c>
    </row>
    <row r="109" customFormat="false" ht="15" hidden="false" customHeight="false" outlineLevel="0" collapsed="false">
      <c r="A109" s="0" t="str">
        <f aca="false">"["&amp;(0.1+0.2)&amp;"]"</f>
        <v>[0.3]</v>
      </c>
      <c r="B109" s="0" t="s">
        <v>116</v>
      </c>
    </row>
    <row r="110" customFormat="false" ht="15" hidden="false" customHeight="false" outlineLevel="0" collapsed="false">
      <c r="A110" s="0" t="str">
        <f aca="false">"["&amp;(1/3)&amp;"]"</f>
        <v>[0.333333333333333]</v>
      </c>
      <c r="B110" s="0" t="s">
        <v>117</v>
      </c>
    </row>
    <row r="111" customFormat="false" ht="15" hidden="false" customHeight="false" outlineLevel="0" collapsed="false">
      <c r="A111" s="0" t="str">
        <f aca="false">"["&amp;1E+020&amp;"]"</f>
        <v>[1E+020]</v>
      </c>
      <c r="B111" s="0" t="s">
        <v>118</v>
      </c>
    </row>
    <row r="112" customFormat="false" ht="15" hidden="false" customHeight="false" outlineLevel="0" collapsed="false">
      <c r="A112" s="0" t="str">
        <f aca="false">"["&amp;0.00001&amp;"]"</f>
        <v>[0.00001]</v>
      </c>
      <c r="B112" s="0" t="s">
        <v>119</v>
      </c>
    </row>
    <row r="113" customFormat="false" ht="15" hidden="false" customHeight="false" outlineLevel="0" collapsed="false">
      <c r="A113" s="0" t="str">
        <f aca="false">"["&amp;1234567.891&amp;"]"</f>
        <v>[1234567.891]</v>
      </c>
      <c r="B113" s="0" t="s">
        <v>120</v>
      </c>
    </row>
    <row r="114" customFormat="false" ht="15" hidden="false" customHeight="false" outlineLevel="0" collapsed="false">
      <c r="A114" s="0" t="str">
        <f aca="false">"["&amp;-0.5&amp;"]"</f>
        <v>[-0.5]</v>
      </c>
      <c r="B114" s="0" t="s">
        <v>121</v>
      </c>
    </row>
    <row r="115" customFormat="false" ht="15" hidden="false" customHeight="false" outlineLevel="0" collapsed="false">
      <c r="A115" s="0" t="n">
        <f aca="false">VLOOKUP("cherry",Data!B1:C8,2,FALSE())</f>
        <v>45368</v>
      </c>
      <c r="B115" s="0" t="s">
        <v>122</v>
      </c>
    </row>
    <row r="116" customFormat="false" ht="15" hidden="false" customHeight="false" outlineLevel="0" collapsed="false">
      <c r="A116" s="0" t="e">
        <f aca="false">VLOOKUP("zzz",Data!B1:C8,2,FALSE())</f>
        <v>#N/A</v>
      </c>
      <c r="B116" s="0" t="s">
        <v>123</v>
      </c>
    </row>
    <row r="117" customFormat="false" ht="15" hidden="false" customHeight="false" outlineLevel="0" collapsed="false">
      <c r="A117" s="0" t="e">
        <f aca="false">VLOOKUP(4,Data!A1:C8,3,TRUE())</f>
        <v>#N/A</v>
      </c>
      <c r="B117" s="0" t="s">
        <v>124</v>
      </c>
    </row>
    <row r="118" customFormat="false" ht="15" hidden="false" customHeight="false" outlineLevel="0" collapsed="false">
      <c r="A118" s="0" t="n">
        <f aca="false">HLOOKUP("y",Data!E1:G2,2,FALSE())</f>
        <v>20</v>
      </c>
      <c r="B118" s="0" t="s">
        <v>125</v>
      </c>
    </row>
    <row r="119" customFormat="false" ht="15" hidden="false" customHeight="false" outlineLevel="0" collapsed="false">
      <c r="A119" s="0" t="n">
        <f aca="false">MATCH("cherry",Data!B1:B8,0)</f>
        <v>3</v>
      </c>
      <c r="B119" s="0" t="s">
        <v>126</v>
      </c>
    </row>
    <row r="120" customFormat="false" ht="15" hidden="false" customHeight="false" outlineLevel="0" collapsed="false">
      <c r="A120" s="0" t="n">
        <f aca="false">MATCH("ch*",Data!B1:B8,0)</f>
        <v>3</v>
      </c>
      <c r="B120" s="0" t="s">
        <v>127</v>
      </c>
    </row>
    <row r="121" customFormat="false" ht="15" hidden="false" customHeight="false" outlineLevel="0" collapsed="false">
      <c r="A121" s="0" t="n">
        <f aca="false">MATCH(6,Data!H1:H5,1)</f>
        <v>3</v>
      </c>
      <c r="B121" s="0" t="s">
        <v>128</v>
      </c>
    </row>
    <row r="122" customFormat="false" ht="15" hidden="false" customHeight="false" outlineLevel="0" collapsed="false">
      <c r="A122" s="0" t="n">
        <f aca="false">MATCH(6,Data!I1:I5,-1)</f>
        <v>2</v>
      </c>
      <c r="B122" s="0" t="s">
        <v>129</v>
      </c>
    </row>
    <row r="123" customFormat="false" ht="15" hidden="false" customHeight="false" outlineLevel="0" collapsed="false">
      <c r="A123" s="0" t="n">
        <f aca="false">INDEX(Data!A1:A8,3)</f>
        <v>8</v>
      </c>
      <c r="B123" s="0" t="s">
        <v>130</v>
      </c>
    </row>
    <row r="124" customFormat="false" ht="15" hidden="false" customHeight="false" outlineLevel="0" collapsed="false">
      <c r="A124" s="0" t="n">
        <f aca="false">INDEX(Data!A1:C8,2,1)</f>
        <v>3</v>
      </c>
      <c r="B124" s="0" t="s">
        <v>131</v>
      </c>
    </row>
    <row r="125" customFormat="false" ht="15" hidden="false" customHeight="false" outlineLevel="0" collapsed="false">
      <c r="A125" s="0" t="n">
        <f aca="false">SUM(INDEX(Data!A1:C8,0,1))</f>
        <v>39</v>
      </c>
      <c r="B125" s="0" t="s">
        <v>132</v>
      </c>
    </row>
    <row r="126" customFormat="false" ht="15" hidden="false" customHeight="false" outlineLevel="0" collapsed="false">
      <c r="A126" s="1" t="n">
        <f aca="false">SUM(INDEX(Data!A1:C8,2,0))</f>
        <v>45341</v>
      </c>
      <c r="B126" s="0" t="s">
        <v>133</v>
      </c>
    </row>
    <row r="127" customFormat="false" ht="15" hidden="false" customHeight="false" outlineLevel="0" collapsed="false">
      <c r="A127" s="0" t="e">
        <f aca="false">_xlfn.xlookup("cherry",Data!B1:B8,Data!A1:A8)</f>
        <v>#NAME?</v>
      </c>
      <c r="B127" s="0" t="s">
        <v>134</v>
      </c>
    </row>
    <row r="128" customFormat="false" ht="15" hidden="false" customHeight="false" outlineLevel="0" collapsed="false">
      <c r="A128" s="0" t="e">
        <f aca="false">_xlfn.xlookup("q",Data!B1:B8,Data!A1:A8,"none")</f>
        <v>#NAME?</v>
      </c>
      <c r="B128" s="0" t="s">
        <v>135</v>
      </c>
    </row>
    <row r="129" customFormat="false" ht="15" hidden="false" customHeight="false" outlineLevel="0" collapsed="false">
      <c r="A129" s="0" t="n">
        <f aca="false">ROW(Data!A5)</f>
        <v>5</v>
      </c>
      <c r="B129" s="0" t="s">
        <v>136</v>
      </c>
    </row>
    <row r="130" customFormat="false" ht="15" hidden="false" customHeight="false" outlineLevel="0" collapsed="false">
      <c r="A130" s="0" t="n">
        <f aca="false">COLUMN(Data!C1)</f>
        <v>3</v>
      </c>
      <c r="B130" s="0" t="s">
        <v>137</v>
      </c>
    </row>
    <row r="131" customFormat="false" ht="15" hidden="false" customHeight="false" outlineLevel="0" collapsed="false">
      <c r="A131" s="0" t="n">
        <f aca="false">ROWS(Data!A1:C8)</f>
        <v>8</v>
      </c>
      <c r="B131" s="0" t="s">
        <v>138</v>
      </c>
    </row>
    <row r="132" customFormat="false" ht="15" hidden="false" customHeight="false" outlineLevel="0" collapsed="false">
      <c r="A132" s="0" t="n">
        <f aca="false">COLUMNS(Data!A1:C8)</f>
        <v>3</v>
      </c>
      <c r="B132" s="0" t="s">
        <v>139</v>
      </c>
    </row>
    <row r="133" customFormat="false" ht="15" hidden="false" customHeight="false" outlineLevel="0" collapsed="false">
      <c r="A133" s="0" t="str">
        <f aca="false">ADDRESS(2,3)</f>
        <v>$C$2</v>
      </c>
      <c r="B133" s="0" t="s">
        <v>140</v>
      </c>
    </row>
    <row r="134" customFormat="false" ht="15" hidden="false" customHeight="false" outlineLevel="0" collapsed="false">
      <c r="A134" s="0" t="str">
        <f aca="false">ADDRESS(2,3,4)</f>
        <v>C2</v>
      </c>
      <c r="B134" s="0" t="s">
        <v>141</v>
      </c>
    </row>
    <row r="135" customFormat="false" ht="15" hidden="false" customHeight="false" outlineLevel="0" collapsed="false">
      <c r="A135" s="0" t="n">
        <f aca="true">OFFSET(Data!A1,2,0)</f>
        <v>8</v>
      </c>
      <c r="B135" s="0" t="s">
        <v>142</v>
      </c>
    </row>
    <row r="136" customFormat="false" ht="15" hidden="false" customHeight="false" outlineLevel="0" collapsed="false">
      <c r="A136" s="0" t="n">
        <f aca="true">SUM(OFFSET(Data!A1,0,0,3,1))</f>
        <v>16</v>
      </c>
      <c r="B136" s="0" t="s">
        <v>143</v>
      </c>
    </row>
    <row r="137" customFormat="false" ht="15" hidden="false" customHeight="false" outlineLevel="0" collapsed="false">
      <c r="A137" s="0" t="n">
        <f aca="true">INDIRECT("Data!A3")</f>
        <v>8</v>
      </c>
      <c r="B137" s="0" t="s">
        <v>144</v>
      </c>
    </row>
    <row r="138" customFormat="false" ht="15" hidden="false" customHeight="false" outlineLevel="0" collapsed="false">
      <c r="A138" s="0" t="n">
        <f aca="true">SUM(INDIRECT("Data!A1:A3"))</f>
        <v>16</v>
      </c>
      <c r="B138" s="0" t="s">
        <v>145</v>
      </c>
    </row>
    <row r="139" customFormat="false" ht="15" hidden="false" customHeight="false" outlineLevel="0" collapsed="false">
      <c r="A139" s="0" t="str">
        <f aca="true">INDIRECT("Data!B"&amp;2)</f>
        <v>banana</v>
      </c>
      <c r="B139" s="0" t="s">
        <v>146</v>
      </c>
    </row>
    <row r="140" customFormat="false" ht="15" hidden="false" customHeight="false" outlineLevel="0" collapsed="false">
      <c r="A140" s="4" t="n">
        <f aca="false">DATE(2024,1,31)</f>
        <v>45322</v>
      </c>
      <c r="B140" s="0" t="s">
        <v>147</v>
      </c>
    </row>
    <row r="141" customFormat="false" ht="15" hidden="false" customHeight="false" outlineLevel="0" collapsed="false">
      <c r="A141" s="4" t="n">
        <f aca="false">DATE(2024,14,1)</f>
        <v>45689</v>
      </c>
      <c r="B141" s="0" t="s">
        <v>148</v>
      </c>
    </row>
    <row r="142" customFormat="false" ht="15" hidden="false" customHeight="false" outlineLevel="0" collapsed="false">
      <c r="A142" s="4" t="n">
        <f aca="false">DATE(2024,3,0)</f>
        <v>45351</v>
      </c>
      <c r="B142" s="0" t="s">
        <v>149</v>
      </c>
    </row>
    <row r="143" customFormat="false" ht="15" hidden="false" customHeight="false" outlineLevel="0" collapsed="false">
      <c r="A143" s="4" t="n">
        <f aca="false">DATE(1900,3,1)</f>
        <v>61</v>
      </c>
      <c r="B143" s="0" t="s">
        <v>150</v>
      </c>
    </row>
    <row r="144" customFormat="false" ht="15" hidden="false" customHeight="false" outlineLevel="0" collapsed="false">
      <c r="A144" s="4" t="n">
        <f aca="false">DATE(2024,2,29)+1</f>
        <v>45352</v>
      </c>
      <c r="B144" s="0" t="s">
        <v>151</v>
      </c>
    </row>
    <row r="145" customFormat="false" ht="15" hidden="false" customHeight="false" outlineLevel="0" collapsed="false">
      <c r="A145" s="0" t="n">
        <f aca="false">YEAR(Data!C1)</f>
        <v>2024</v>
      </c>
      <c r="B145" s="0" t="s">
        <v>152</v>
      </c>
    </row>
    <row r="146" customFormat="false" ht="15" hidden="false" customHeight="false" outlineLevel="0" collapsed="false">
      <c r="A146" s="0" t="n">
        <f aca="false">MONTH(Data!C1)</f>
        <v>1</v>
      </c>
      <c r="B146" s="0" t="s">
        <v>153</v>
      </c>
    </row>
    <row r="147" customFormat="false" ht="15" hidden="false" customHeight="false" outlineLevel="0" collapsed="false">
      <c r="A147" s="0" t="n">
        <f aca="false">DAY(Data!C1)</f>
        <v>15</v>
      </c>
      <c r="B147" s="0" t="s">
        <v>154</v>
      </c>
    </row>
    <row r="148" customFormat="false" ht="15" hidden="false" customHeight="false" outlineLevel="0" collapsed="false">
      <c r="A148" s="0" t="n">
        <f aca="false">WEEKDAY(Data!C1)</f>
        <v>2</v>
      </c>
      <c r="B148" s="0" t="s">
        <v>155</v>
      </c>
    </row>
    <row r="149" customFormat="false" ht="15" hidden="false" customHeight="false" outlineLevel="0" collapsed="false">
      <c r="A149" s="0" t="n">
        <f aca="false">WEEKDAY(Data!C1,2)</f>
        <v>1</v>
      </c>
      <c r="B149" s="0" t="s">
        <v>156</v>
      </c>
    </row>
    <row r="150" customFormat="false" ht="15" hidden="false" customHeight="false" outlineLevel="0" collapsed="false">
      <c r="A150" s="0" t="n">
        <f aca="false">EDATE(DATE(2024,1,31),1)</f>
        <v>45351</v>
      </c>
      <c r="B150" s="0" t="s">
        <v>157</v>
      </c>
    </row>
    <row r="151" customFormat="false" ht="15" hidden="false" customHeight="false" outlineLevel="0" collapsed="false">
      <c r="A151" s="0" t="n">
        <f aca="false">EDATE(DATE(2024,3,31),-1)</f>
        <v>45351</v>
      </c>
      <c r="B151" s="0" t="s">
        <v>158</v>
      </c>
    </row>
    <row r="152" customFormat="false" ht="15" hidden="false" customHeight="false" outlineLevel="0" collapsed="false">
      <c r="A152" s="0" t="n">
        <f aca="false">EOMONTH(Data!C1,0)</f>
        <v>45322</v>
      </c>
      <c r="B152" s="0" t="s">
        <v>159</v>
      </c>
    </row>
    <row r="153" customFormat="false" ht="15" hidden="false" customHeight="false" outlineLevel="0" collapsed="false">
      <c r="A153" s="0" t="n">
        <f aca="false">EOMONTH(Data!C1,2)</f>
        <v>45382</v>
      </c>
      <c r="B153" s="0" t="s">
        <v>160</v>
      </c>
    </row>
    <row r="154" customFormat="false" ht="15" hidden="false" customHeight="false" outlineLevel="0" collapsed="false">
      <c r="A154" s="0" t="n">
        <f aca="false">_xlfn.DAYS(Data!C2,Data!C1)</f>
        <v>32</v>
      </c>
      <c r="B154" s="0" t="s">
        <v>161</v>
      </c>
    </row>
    <row r="155" customFormat="false" ht="15" hidden="false" customHeight="false" outlineLevel="0" collapsed="false">
      <c r="A155" s="0" t="n">
        <f aca="false">DATEDIF(Data!C1,Data!C2,"M")</f>
        <v>1</v>
      </c>
      <c r="B155" s="0" t="s">
        <v>162</v>
      </c>
    </row>
    <row r="156" customFormat="false" ht="15" hidden="false" customHeight="false" outlineLevel="0" collapsed="false">
      <c r="A156" s="0" t="n">
        <f aca="false">DATEDIF(Data!C1,Data!C2,"D")</f>
        <v>32</v>
      </c>
      <c r="B156" s="0" t="s">
        <v>163</v>
      </c>
    </row>
    <row r="157" customFormat="false" ht="15" hidden="false" customHeight="false" outlineLevel="0" collapsed="false">
      <c r="A157" s="0" t="n">
        <f aca="false">DATEDIF(DATE(2020,1,15),DATE(2024,1,14),"Y")</f>
        <v>3</v>
      </c>
      <c r="B157" s="0" t="s">
        <v>164</v>
      </c>
    </row>
    <row r="158" customFormat="false" ht="15" hidden="false" customHeight="false" outlineLevel="0" collapsed="false">
      <c r="A158" s="0" t="n">
        <f aca="false">HOUR(0.75)</f>
        <v>18</v>
      </c>
      <c r="B158" s="0" t="s">
        <v>165</v>
      </c>
    </row>
    <row r="159" customFormat="false" ht="15" hidden="false" customHeight="false" outlineLevel="0" collapsed="false">
      <c r="A159" s="0" t="n">
        <f aca="false">MINUTE(0.7512)</f>
        <v>1</v>
      </c>
      <c r="B159" s="0" t="s">
        <v>166</v>
      </c>
    </row>
    <row r="160" customFormat="false" ht="15" hidden="false" customHeight="false" outlineLevel="0" collapsed="false">
      <c r="A160" s="0" t="n">
        <f aca="false">SECOND(0.7512)</f>
        <v>44</v>
      </c>
      <c r="B160" s="0" t="s">
        <v>167</v>
      </c>
    </row>
    <row r="161" customFormat="false" ht="15" hidden="false" customHeight="false" outlineLevel="0" collapsed="false">
      <c r="A161" s="5" t="n">
        <f aca="false">TIME(13,30,0)</f>
        <v>0.5625</v>
      </c>
      <c r="B161" s="0" t="s">
        <v>168</v>
      </c>
    </row>
    <row r="162" customFormat="false" ht="15" hidden="false" customHeight="false" outlineLevel="0" collapsed="false">
      <c r="A162" s="0" t="n">
        <f aca="false">DATEVALUE("2024-03-01")</f>
        <v>45352</v>
      </c>
      <c r="B162" s="0" t="s">
        <v>169</v>
      </c>
    </row>
    <row r="163" customFormat="false" ht="15" hidden="false" customHeight="false" outlineLevel="0" collapsed="false">
      <c r="A163" s="6" t="n">
        <f aca="false">PMT(0.01,12,-1000)</f>
        <v>88.8487886783417</v>
      </c>
      <c r="B163" s="0" t="s">
        <v>170</v>
      </c>
    </row>
    <row r="164" customFormat="false" ht="15" hidden="false" customHeight="false" outlineLevel="0" collapsed="false">
      <c r="A164" s="6" t="n">
        <f aca="false">PMT(0.05/12,360,200000)</f>
        <v>-1073.64324602428</v>
      </c>
      <c r="B164" s="0" t="s">
        <v>171</v>
      </c>
    </row>
    <row r="165" customFormat="false" ht="15" hidden="false" customHeight="false" outlineLevel="0" collapsed="false">
      <c r="A165" s="6" t="n">
        <f aca="false">FV(0.05,10,-100)</f>
        <v>1257.78925355488</v>
      </c>
      <c r="B165" s="0" t="s">
        <v>172</v>
      </c>
    </row>
    <row r="166" customFormat="false" ht="15" hidden="false" customHeight="false" outlineLevel="0" collapsed="false">
      <c r="A166" s="6" t="n">
        <f aca="false">PV(0.05,10,-100)</f>
        <v>772.173492918482</v>
      </c>
      <c r="B166" s="0" t="s">
        <v>173</v>
      </c>
    </row>
    <row r="167" customFormat="false" ht="15" hidden="false" customHeight="false" outlineLevel="0" collapsed="false">
      <c r="A167" s="6" t="n">
        <f aca="false">NPV(0.1,100,200,300)</f>
        <v>481.592787377911</v>
      </c>
      <c r="B167" s="0" t="s">
        <v>174</v>
      </c>
    </row>
    <row r="168" customFormat="false" ht="15" hidden="false" customHeight="false" outlineLevel="0" collapsed="false">
      <c r="A168" s="7" t="n">
        <f aca="false">IRR(Data!J1:J5)</f>
        <v>0.248883356624071</v>
      </c>
      <c r="B168" s="0" t="s">
        <v>175</v>
      </c>
    </row>
    <row r="169" customFormat="false" ht="15" hidden="false" customHeight="false" outlineLevel="0" collapsed="false">
      <c r="A169" s="0" t="n">
        <f aca="false">-2^2</f>
        <v>4</v>
      </c>
      <c r="B169" s="0" t="s">
        <v>176</v>
      </c>
    </row>
    <row r="170" customFormat="false" ht="15" hidden="false" customHeight="false" outlineLevel="0" collapsed="false">
      <c r="A170" s="0" t="n">
        <f aca="false">2^-1</f>
        <v>0.5</v>
      </c>
      <c r="B170" s="0" t="s">
        <v>177</v>
      </c>
    </row>
    <row r="171" customFormat="false" ht="15" hidden="false" customHeight="false" outlineLevel="0" collapsed="false">
      <c r="A171" s="0" t="n">
        <f aca="false">2^3^2</f>
        <v>64</v>
      </c>
      <c r="B171" s="0" t="s">
        <v>178</v>
      </c>
    </row>
    <row r="172" customFormat="false" ht="15" hidden="false" customHeight="false" outlineLevel="0" collapsed="false">
      <c r="A172" s="0" t="n">
        <f aca="false">10%*3</f>
        <v>0.3</v>
      </c>
      <c r="B172" s="0" t="s">
        <v>179</v>
      </c>
    </row>
    <row r="173" customFormat="false" ht="15" hidden="false" customHeight="false" outlineLevel="0" collapsed="false">
      <c r="A173" s="0" t="n">
        <f aca="false">"3"+1</f>
        <v>4</v>
      </c>
      <c r="B173" s="0" t="s">
        <v>180</v>
      </c>
    </row>
    <row r="174" customFormat="false" ht="15" hidden="false" customHeight="false" outlineLevel="0" collapsed="false">
      <c r="A174" s="0" t="n">
        <f aca="false">TRUE()+1</f>
        <v>2</v>
      </c>
      <c r="B174" s="0" t="s">
        <v>181</v>
      </c>
    </row>
    <row r="175" customFormat="false" ht="15" hidden="false" customHeight="false" outlineLevel="0" collapsed="false">
      <c r="A175" s="0" t="str">
        <f aca="false">"a"&amp;"b"</f>
        <v>ab</v>
      </c>
      <c r="B175" s="0" t="s">
        <v>182</v>
      </c>
    </row>
    <row r="176" customFormat="false" ht="15" hidden="false" customHeight="false" outlineLevel="0" collapsed="false">
      <c r="A176" s="3" t="b">
        <f aca="false">1="1"</f>
        <v>0</v>
      </c>
      <c r="B176" s="0" t="s">
        <v>183</v>
      </c>
    </row>
    <row r="177" customFormat="false" ht="15" hidden="false" customHeight="false" outlineLevel="0" collapsed="false">
      <c r="A177" s="3" t="b">
        <f aca="false">"a"&lt;"B"</f>
        <v>1</v>
      </c>
      <c r="B177" s="0" t="s">
        <v>184</v>
      </c>
    </row>
    <row r="178" customFormat="false" ht="15" hidden="false" customHeight="false" outlineLevel="0" collapsed="false">
      <c r="A178" s="3" t="b">
        <f aca="false">"abc"="ABC"</f>
        <v>1</v>
      </c>
      <c r="B178" s="0" t="s">
        <v>185</v>
      </c>
    </row>
    <row r="179" customFormat="false" ht="15" hidden="false" customHeight="false" outlineLevel="0" collapsed="false">
      <c r="A179" s="3" t="b">
        <f aca="false">1&lt;"a"</f>
        <v>1</v>
      </c>
      <c r="B179" s="0" t="s">
        <v>186</v>
      </c>
    </row>
    <row r="180" customFormat="false" ht="15" hidden="false" customHeight="false" outlineLevel="0" collapsed="false">
      <c r="A180" s="0" t="n">
        <f aca="false">(1+2)*3</f>
        <v>9</v>
      </c>
      <c r="B180" s="0" t="s">
        <v>187</v>
      </c>
    </row>
    <row r="181" customFormat="false" ht="15" hidden="false" customHeight="false" outlineLevel="0" collapsed="false">
      <c r="A181" s="0" t="n">
        <f aca="false">7/2</f>
        <v>3.5</v>
      </c>
      <c r="B181" s="0" t="s">
        <v>188</v>
      </c>
    </row>
    <row r="182" customFormat="false" ht="15" hidden="false" customHeight="false" outlineLevel="0" collapsed="false">
      <c r="A182" s="0" t="n">
        <f aca="false">-(-3)</f>
        <v>3</v>
      </c>
      <c r="B182" s="0" t="s">
        <v>189</v>
      </c>
    </row>
    <row r="183" customFormat="false" ht="15" hidden="false" customHeight="false" outlineLevel="0" collapsed="false">
      <c r="A183" s="0" t="e">
        <f aca="false">Data!A1:A3*2</f>
        <v>#VALUE!</v>
      </c>
      <c r="B183" s="0" t="s">
        <v>190</v>
      </c>
    </row>
    <row r="184" customFormat="false" ht="15" hidden="false" customHeight="false" outlineLevel="0" collapsed="false">
      <c r="A184" s="0" t="e">
        <f aca="false">SUM(Data!A1:A3*2)</f>
        <v>#VALUE!</v>
      </c>
      <c r="B184" s="0" t="s">
        <v>191</v>
      </c>
    </row>
    <row r="185" customFormat="false" ht="15" hidden="false" customHeight="false" outlineLevel="0" collapsed="false">
      <c r="A185" s="0" t="e">
        <f aca="false">SUM(Data!A1:A3&gt;3)</f>
        <v>#VALUE!</v>
      </c>
      <c r="B185" s="0" t="s">
        <v>192</v>
      </c>
    </row>
    <row r="186" customFormat="false" ht="15" hidden="false" customHeight="false" outlineLevel="0" collapsed="false">
      <c r="A186" s="0" t="e">
        <f aca="false">1/0</f>
        <v>#DIV/0!</v>
      </c>
      <c r="B186" s="0" t="s">
        <v>193</v>
      </c>
    </row>
    <row r="187" customFormat="false" ht="15" hidden="false" customHeight="false" outlineLevel="0" collapsed="false">
      <c r="A187" s="0" t="e">
        <f aca="false">SQRT(-1)</f>
        <v>#VALUE!</v>
      </c>
      <c r="B187" s="0" t="s">
        <v>194</v>
      </c>
    </row>
    <row r="188" customFormat="false" ht="15" hidden="false" customHeight="false" outlineLevel="0" collapsed="false">
      <c r="A188" s="0" t="e">
        <f aca="false">NA()</f>
        <v>#N/A</v>
      </c>
      <c r="B188" s="0" t="s">
        <v>195</v>
      </c>
    </row>
    <row r="189" customFormat="false" ht="15" hidden="false" customHeight="false" outlineLevel="0" collapsed="false">
      <c r="A189" s="0" t="e">
        <f aca="false">"a"+1</f>
        <v>#VALUE!</v>
      </c>
      <c r="B189" s="0" t="s">
        <v>196</v>
      </c>
    </row>
    <row r="190" customFormat="false" ht="15" hidden="false" customHeight="false" outlineLevel="0" collapsed="false">
      <c r="A190" s="0" t="n">
        <f aca="false">0^0</f>
        <v>1</v>
      </c>
      <c r="B190" s="0" t="s">
        <v>197</v>
      </c>
    </row>
    <row r="191" customFormat="false" ht="15" hidden="false" customHeight="false" outlineLevel="0" collapsed="false">
      <c r="A191" s="0" t="e">
        <f aca="false">LN(0)</f>
        <v>#VALUE!</v>
      </c>
      <c r="B191" s="0" t="s">
        <v>198</v>
      </c>
    </row>
    <row r="192" customFormat="false" ht="15" hidden="false" customHeight="false" outlineLevel="0" collapsed="false">
      <c r="A192" s="0" t="e">
        <f aca="false">VALUE("abc")</f>
        <v>#VALUE!</v>
      </c>
      <c r="B192" s="0" t="s">
        <v>199</v>
      </c>
    </row>
    <row r="193" customFormat="false" ht="15" hidden="false" customHeight="false" outlineLevel="0" collapsed="false">
      <c r="A193" s="0" t="e">
        <f aca="false">MATCH(99,Data!A1:A8,0)</f>
        <v>#N/A</v>
      </c>
      <c r="B193" s="0" t="s">
        <v>200</v>
      </c>
    </row>
    <row r="194" customFormat="false" ht="15" hidden="false" customHeight="false" outlineLevel="0" collapsed="false">
      <c r="A194" s="0" t="e">
        <f aca="false">INDEX(Data!A1:A8,99)</f>
        <v>#REF!</v>
      </c>
      <c r="B194" s="0" t="s">
        <v>201</v>
      </c>
    </row>
    <row r="195" customFormat="false" ht="15" hidden="false" customHeight="false" outlineLevel="0" collapsed="false">
      <c r="A195" s="0" t="n">
        <f aca="false">SUMPRODUCT(LEN(Data!B1:B3))</f>
        <v>17</v>
      </c>
      <c r="B195" s="0" t="s">
        <v>202</v>
      </c>
    </row>
    <row r="196" customFormat="false" ht="15" hidden="false" customHeight="false" outlineLevel="0" collapsed="false">
      <c r="A196" s="0" t="n">
        <f aca="false">SUMPRODUCT(--(Data!A1:A8&gt;4))</f>
        <v>4</v>
      </c>
      <c r="B196" s="0" t="s">
        <v>203</v>
      </c>
    </row>
    <row r="197" customFormat="false" ht="15" hidden="false" customHeight="false" outlineLevel="0" collapsed="false">
      <c r="A197" s="0" t="e">
        <f aca="false">Data!A1+Data!B1</f>
        <v>#VALUE!</v>
      </c>
      <c r="B197" s="0" t="s">
        <v>204</v>
      </c>
    </row>
    <row r="198" customFormat="false" ht="15" hidden="false" customHeight="false" outlineLevel="0" collapsed="false">
      <c r="A198" s="0" t="e">
        <f aca="false">#REF!+1</f>
        <v>#REF!</v>
      </c>
      <c r="B198" s="0" t="s">
        <v>205</v>
      </c>
    </row>
    <row r="199" customFormat="false" ht="15" hidden="false" customHeight="false" outlineLevel="0" collapsed="false">
      <c r="A199" s="3" t="b">
        <f aca="false">ISERROR(Data!A1/0)</f>
        <v>1</v>
      </c>
      <c r="B199" s="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2026-10-23T05:16:38Z</dcterms:created>
  <dc:creator>openpyxl</dc:creator>
  <dc:description/>
  <dc:language>en-US</dc:language>
  <cp:lastModifiedBy/>
  <dcterms:modified xsi:type="dcterms:W3CDTF">2026-10-23T05:16:38Z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