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mmary" sheetId="1" state="visible" r:id="rId3"/>
    <sheet name="Tests --&gt;" sheetId="2" state="visible" r:id="rId4"/>
    <sheet name="Indexing tests" sheetId="3" state="visible" r:id="rId5"/>
    <sheet name="hidden_formula_error" sheetId="4" state="hidden" r:id="rId6"/>
    <sheet name="empty_hidden" sheetId="5" state="hidden" r:id="rId7"/>
    <sheet name="Sheet7" sheetId="6" state="visible" r:id="rId8"/>
    <sheet name="sheet 7" sheetId="7" state="visible" r:id="rId9"/>
    <sheet name="empty" sheetId="8" state="visible" r:id="rId10"/>
  </sheets>
  <externalReferences>
    <externalReference r:id="rId11"/>
  </externalReferences>
  <definedNames>
    <definedName function="false" hidden="true" localSheetId="0" name="_xlnm._FilterDatabase" vbProcedure="false">Summary!$A$1:$E$17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<sst xmlns="http://schemas.openxmlformats.org/spreadsheetml/2006/main" count="207" uniqueCount="144">
  <si>
    <t xml:space="preserve">Scope</t>
  </si>
  <si>
    <t xml:space="preserve">Rule</t>
  </si>
  <si>
    <t xml:space="preserve">Position</t>
  </si>
  <si>
    <t xml:space="preserve">Value ODS</t>
  </si>
  <si>
    <t xml:space="preserve">Value XLSX (if not specified, equal to ODS)</t>
  </si>
  <si>
    <t xml:space="preserve">Book</t>
  </si>
  <si>
    <t xml:space="preserve">SEC002</t>
  </si>
  <si>
    <t xml:space="preserve">[‘hidden_formula_error’, ‘empty_hidden’]</t>
  </si>
  <si>
    <t xml:space="preserve">PERF001</t>
  </si>
  <si>
    <t xml:space="preserve">[‘text_not_used_range’]</t>
  </si>
  <si>
    <t xml:space="preserve">PERF002</t>
  </si>
  <si>
    <t xml:space="preserve">[‘Summary’, ‘sheet 7’]</t>
  </si>
  <si>
    <t xml:space="preserve">PERF005</t>
  </si>
  <si>
    <t xml:space="preserve">[‘Tests →’, ‘empty_hidden’, ‘empty’]</t>
  </si>
  <si>
    <t xml:space="preserve">SM001</t>
  </si>
  <si>
    <t xml:space="preserve">minimal_test</t>
  </si>
  <si>
    <t xml:space="preserve">SM002</t>
  </si>
  <si>
    <t xml:space="preserve">[‘Sheet7’, ‘sheet 7’]</t>
  </si>
  <si>
    <t xml:space="preserve">sheet7</t>
  </si>
  <si>
    <t xml:space="preserve">SM005</t>
  </si>
  <si>
    <t xml:space="preserve">sheet</t>
  </si>
  <si>
    <t xml:space="preserve">SEC004</t>
  </si>
  <si>
    <t xml:space="preserve">[‘HelloWorld’]</t>
  </si>
  <si>
    <t xml:space="preserve">sheet 7</t>
  </si>
  <si>
    <t xml:space="preserve">SEC003</t>
  </si>
  <si>
    <t xml:space="preserve">[Col(G), Row(7)]</t>
  </si>
  <si>
    <t xml:space="preserve">UX003</t>
  </si>
  <si>
    <t xml:space="preserve">[Col( C ), Row(2), Row(4)]</t>
  </si>
  <si>
    <t xml:space="preserve">hidden_formula_error</t>
  </si>
  <si>
    <t xml:space="preserve">[Row(6)]</t>
  </si>
  <si>
    <t xml:space="preserve">ERR001</t>
  </si>
  <si>
    <t xml:space="preserve">[B3]</t>
  </si>
  <si>
    <t xml:space="preserve">NAME</t>
  </si>
  <si>
    <t xml:space="preserve">[B7, D4]</t>
  </si>
  <si>
    <t xml:space="preserve">Err:522</t>
  </si>
  <si>
    <t xml:space="preserve">VALUE</t>
  </si>
  <si>
    <t xml:space="preserve">FORM008</t>
  </si>
  <si>
    <t xml:space="preserve">[B7]</t>
  </si>
  <si>
    <t xml:space="preserve">[Row(1:2),Row(5:6),Col(A),Col( C )]</t>
  </si>
  <si>
    <t xml:space="preserve">Indexing tests</t>
  </si>
  <si>
    <t xml:space="preserve">[Row(1),Row(5:6), Row(13), Row(16:17),Row(20:21),Col(A),Col(E),Col(G)]</t>
  </si>
  <si>
    <t xml:space="preserve">[Row(5),Col(G),Col(K)]</t>
  </si>
  <si>
    <t xml:space="preserve">SM004</t>
  </si>
  <si>
    <t xml:space="preserve">[B2:C2,C3:D4,F7:F11]</t>
  </si>
  <si>
    <t xml:space="preserve">FORM002</t>
  </si>
  <si>
    <t xml:space="preserve">[D8]</t>
  </si>
  <si>
    <t xml:space="preserve">NOW</t>
  </si>
  <si>
    <t xml:space="preserve">[H12,J22:K22,J23]</t>
  </si>
  <si>
    <t xml:space="preserve">[J14,J18:J19]</t>
  </si>
  <si>
    <t xml:space="preserve">REF</t>
  </si>
  <si>
    <t xml:space="preserve">[J15]</t>
  </si>
  <si>
    <t xml:space="preserve">DIV</t>
  </si>
  <si>
    <t xml:space="preserve">UX002</t>
  </si>
  <si>
    <t xml:space="preserve">dd/mm/yy hh:mm</t>
  </si>
  <si>
    <t xml:space="preserve">FORM003</t>
  </si>
  <si>
    <t xml:space="preserve">[D11:D12]</t>
  </si>
  <si>
    <t xml:space="preserve">2+1</t>
  </si>
  <si>
    <t xml:space="preserve">ERR003</t>
  </si>
  <si>
    <t xml:space="preserve">H12</t>
  </si>
  <si>
    <t xml:space="preserve">Indexing tests!H12 -&gt; hidden_formula_error!B7 -&gt; hidden_formula_error!D4</t>
  </si>
  <si>
    <t xml:space="preserve">Sheet7</t>
  </si>
  <si>
    <t xml:space="preserve">UX001</t>
  </si>
  <si>
    <t xml:space="preserve">[C3]</t>
  </si>
  <si>
    <t xml:space="preserve">[C10,H5]</t>
  </si>
  <si>
    <t xml:space="preserve">yyyy-mm-dd</t>
  </si>
  <si>
    <t xml:space="preserve">[N5]</t>
  </si>
  <si>
    <t xml:space="preserve">SM003</t>
  </si>
  <si>
    <t xml:space="preserve">[E14,G13]</t>
  </si>
  <si>
    <t xml:space="preserve">[lenght1, lenght2]</t>
  </si>
  <si>
    <t xml:space="preserve">FORM001</t>
  </si>
  <si>
    <t xml:space="preserve">[G13]</t>
  </si>
  <si>
    <t xml:space="preserve">[lenght]</t>
  </si>
  <si>
    <t xml:space="preserve">FORM004</t>
  </si>
  <si>
    <t xml:space="preserve">[H13]</t>
  </si>
  <si>
    <t xml:space="preserve">[Col( C )]</t>
  </si>
  <si>
    <t xml:space="preserve">FORM005</t>
  </si>
  <si>
    <t xml:space="preserve">[I7:I9]</t>
  </si>
  <si>
    <t xml:space="preserve">SEC001</t>
  </si>
  <si>
    <t xml:space="preserve">[H6:I6]</t>
  </si>
  <si>
    <t xml:space="preserve">https://cheats.rs/</t>
  </si>
  <si>
    <t xml:space="preserve">[J6]</t>
  </si>
  <si>
    <t xml:space="preserve">test.xlsx</t>
  </si>
  <si>
    <t xml:space="preserve">FORM006</t>
  </si>
  <si>
    <t xml:space="preserve">[I13]</t>
  </si>
  <si>
    <t xml:space="preserve">FORM007</t>
  </si>
  <si>
    <t xml:space="preserve">[L7]</t>
  </si>
  <si>
    <t xml:space="preserve">[Col(N)]</t>
  </si>
  <si>
    <t xml:space="preserve">[Row(1:2),Row(11),Row(15:62),Col(A),Col(D),Col(O:Q)]</t>
  </si>
  <si>
    <t xml:space="preserve">FORM009</t>
  </si>
  <si>
    <t xml:space="preserve">[H10]</t>
  </si>
  <si>
    <t xml:space="preserve">VLOOKUP</t>
  </si>
  <si>
    <t xml:space="preserve">N/A</t>
  </si>
  <si>
    <t xml:space="preserve">PERF003</t>
  </si>
  <si>
    <t xml:space="preserve">R63</t>
  </si>
  <si>
    <t xml:space="preserve">M14</t>
  </si>
  <si>
    <t xml:space="preserve">UX004</t>
  </si>
  <si>
    <t xml:space="preserve">[C8]</t>
  </si>
  <si>
    <t xml:space="preserve">(multiples – not explicit examples)</t>
  </si>
  <si>
    <t xml:space="preserve">Previous merged over row</t>
  </si>
  <si>
    <t xml:space="preserve">Previous column empty</t>
  </si>
  <si>
    <t xml:space="preserve">Rows and columns merged</t>
  </si>
  <si>
    <t xml:space="preserve">Next row invisible</t>
  </si>
  <si>
    <t xml:space="preserve">Previous row empty (M/D/YYYY →)</t>
  </si>
  <si>
    <t xml:space="preserve">Column merged</t>
  </si>
  <si>
    <t xml:space="preserve">Previous column invisible</t>
  </si>
  <si>
    <t xml:space="preserve">Volatile now →</t>
  </si>
  <si>
    <t xml:space="preserve">Possible false self reference (because hidden row and equal visible row with next real row) →</t>
  </si>
  <si>
    <t xml:space="preserve">Duplicate→</t>
  </si>
  <si>
    <t xml:space="preserve">Circular ref with hidden_formula_error →</t>
  </si>
  <si>
    <t xml:space="preserve">Chained ref J14</t>
  </si>
  <si>
    <t xml:space="preserve">Chained ref J18</t>
  </si>
  <si>
    <t xml:space="preserve">Circular ref with invisible K22</t>
  </si>
  <si>
    <t xml:space="preserve">previous row is invisible</t>
  </si>
  <si>
    <t xml:space="preserve">previous column empty</t>
  </si>
  <si>
    <t xml:space="preserve">Number as text</t>
  </si>
  <si>
    <t xml:space="preserve">Number as number</t>
  </si>
  <si>
    <t xml:space="preserve">Number as %</t>
  </si>
  <si>
    <t xml:space="preserve">numbers used range on sum →</t>
  </si>
  <si>
    <t xml:space="preserve">External workbook below</t>
  </si>
  <si>
    <t xml:space="preserve">Name invisible error →</t>
  </si>
  <si>
    <t xml:space="preserve">Number as currency</t>
  </si>
  <si>
    <t xml:space="preserve">Rust cheat web</t>
  </si>
  <si>
    <t xml:space="preserve">Follow https://cheats.rs/</t>
  </si>
  <si>
    <t xml:space="preserve">Blank</t>
  </si>
  <si>
    <t xml:space="preserve">nested if</t>
  </si>
  <si>
    <t xml:space="preserve">Date as text</t>
  </si>
  <si>
    <t xml:space="preserve">1990/09/30</t>
  </si>
  <si>
    <t xml:space="preserve">empty string</t>
  </si>
  <si>
    <t xml:space="preserve">Date format mm-dd-yyyy</t>
  </si>
  <si>
    <t xml:space="preserve">empty len</t>
  </si>
  <si>
    <t xml:space="preserve">Date format yyyy-mm-dd</t>
  </si>
  <si>
    <t xml:space="preserve">Vlookup →</t>
  </si>
  <si>
    <t xml:space="preserve">Color R63</t>
  </si>
  <si>
    <t xml:space="preserve">Long formula</t>
  </si>
  <si>
    <t xml:space="preserve">Whole reference</t>
  </si>
  <si>
    <t xml:space="preserve">Nested formula</t>
  </si>
  <si>
    <t xml:space="preserve">Hardcoded numbers</t>
  </si>
  <si>
    <t xml:space="preserve">Below, long text</t>
  </si>
  <si>
    <t xml:space="preserve">Formulas</t>
  </si>
  <si>
    <t xml:space="preserve">Lorem ipsum dolor sit amet, consectetuer adipiscing elit. Aenean commodo ligula eget dolor. Aenean massa. Cum sociis natoque penatibus et magnis dis parturient montes, nascetur ridiculus mus. Donec quam felis, ultricies nec, pellentesque eu, pretium quis, sem. Nulla consequat massa quis enim. Donec pede justo, fringilla vel, aliquet nec, vulputate eget, arcu. In enim justo, rhoncus ut, imperdiet a, venenatis vitae, justo. Nullam dictum felis eu pede mollis pretium. Integer tincidunt. Cras dapibus. Vivamus elementum semper nisi. Aenean vulputate eleifend tellus. Aenean leo ligula, porttitor eu, consequat vitae, eleifend ac, enim. Aliquam lorem ante, dapibus in, viverra quis, feugiat a, tellus. Phasellus viverra nulla ut metus varius laoreet. Quisque rutrum. Aenean imperdiet. Etiam ultricies nisi vel augue. Curabitur ullamcorper ultricies nisi. Nam eget dui. Etiam rhoncus. Maecenas tempus, tellus eget condimentum rhoncus, sem quam semper libero, sit amet adipiscing sem neque sed ipsum. Nam quam nunc, blandit vel, luctus pulvinar, hendrerit id, lorem. Maecenas nec odio et ante tincidunt tempus. Donec vitae sapien ut libero venenatis faucibus. Nullam quis ante. Etiam sit amet orci eget eros faucibus tincidunt. Duis leo. Sed fringilla mauris sit amet nibh. Donec sodales sagittis magna. Sed consequat, leo eget bibendum sodales, augue velit cursus nunc, quis gravida magna mi a libero. Fusce vulputate eleifend sapien. Vestibulum purus quam, scelerisque ut, mollis sed, nonummy id, metus. Nullam accumsan lorem in dui. Cras ultricies mi eu turpis hendrerit fringilla. Vestibulum ante ipsum primis in faucibus orci luctus et ultrices posuere cubilia Curae; In ac dui quis mi consectetuer lacinia. Nam pretium turpis et arcu. Duis arcu tortor, suscipit eget, imperdiet nec, imperdiet iaculis, ipsum. Sed aliquam ultrices mauris. Integer ante arcu, accumsan a, consectetuer eget, posuere ut, mauris. Praesent adipiscing. Phasellus ullamcorper ipsum rutrum nunc. Nunc nonummy metus. Vestibulum volutpat pretium libero. Cras id dui. Aenean ut </t>
  </si>
  <si>
    <t xml:space="preserve">Only text, should reported as unused</t>
  </si>
  <si>
    <t xml:space="preserve">text not number</t>
  </si>
  <si>
    <t xml:space="preserve">Column G hidden</t>
  </si>
  <si>
    <t xml:space="preserve">Row 7 hidden</t>
  </si>
</sst>
</file>

<file path=xl/styles.xml><?xml version="1.0" encoding="utf-8"?>
<styleSheet xmlns="http://schemas.openxmlformats.org/spreadsheetml/2006/main">
  <numFmts count="9">
    <numFmt numFmtId="164" formatCode="General"/>
    <numFmt numFmtId="165" formatCode="m/d/yyyy"/>
    <numFmt numFmtId="166" formatCode="dd/mm/yy\ hh:mm"/>
    <numFmt numFmtId="167" formatCode="@"/>
    <numFmt numFmtId="168" formatCode="#,##0.00"/>
    <numFmt numFmtId="169" formatCode="0.00%"/>
    <numFmt numFmtId="170" formatCode="yyyy\-mm\-dd"/>
    <numFmt numFmtId="171" formatCode="#,##0.00\ [$Kz-8016];[RED]\-#,##0.00\ [$Kz-8016]"/>
    <numFmt numFmtId="172" formatCode="mm\-dd\-yyyy"/>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3">
    <fill>
      <patternFill patternType="none"/>
    </fill>
    <fill>
      <patternFill patternType="gray125"/>
    </fill>
    <fill>
      <patternFill patternType="solid">
        <fgColor rgb="FFFF4000"/>
        <bgColor rgb="FFCC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ont>
        <b val="1"/>
        <color rgb="FFFFFFFF"/>
      </font>
      <fill>
        <patternFill>
          <bgColor rgb="FF000000"/>
        </patternFill>
      </fill>
    </dxf>
    <dxf>
      <font>
        <b val="1"/>
        <color rgb="FFFFFFFF"/>
      </font>
      <fill>
        <patternFill>
          <bgColor rgb="FFCC0000"/>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externalLink" Target="externalLinks/externalLink1.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test.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no_usada"/>
      <sheetName val="circular"/>
      <sheetName val="hidden"/>
      <sheetName val="sheet 1"/>
    </sheetNames>
    <sheetDataSet>
      <sheetData sheetId="0">
        <row r="3">
          <cell r="B3">
            <v>8</v>
          </cell>
        </row>
      </sheetData>
      <sheetData sheetId="1"/>
      <sheetData sheetId="2"/>
      <sheetData sheetId="3"/>
      <sheetData sheetId="4"/>
    </sheetDataSet>
  </externalBook>
</externalLink>
</file>

<file path=xl/tables/table1.xml><?xml version="1.0" encoding="utf-8"?>
<table xmlns="http://schemas.openxmlformats.org/spreadsheetml/2006/main" id="1" name="numbers_used" displayName="numbers_used" ref="C3:C10" headerRowCount="1" totalsRowCount="0" totalsRowShown="0">
  <tableColumns count="1">
    <tableColumn id="1" name="Column1"/>
  </tableColumns>
</table>
</file>

<file path=xl/tables/table2.xml><?xml version="1.0" encoding="utf-8"?>
<table xmlns="http://schemas.openxmlformats.org/spreadsheetml/2006/main" id="2" name="text_not_used_range" displayName="text_not_used_range" ref="B3:B10" headerRowCount="1" totalsRowCount="0" totalsRowShown="0">
  <tableColumns count="1">
    <tableColumn id="1" name="Number as text"/>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7" colorId="64" zoomScale="93" zoomScaleNormal="93" zoomScalePageLayoutView="100" workbookViewId="0">
      <selection pane="topLeft" activeCell="C10" activeCellId="0" sqref="C10"/>
    </sheetView>
  </sheetViews>
  <sheetFormatPr defaultColWidth="11.53515625" defaultRowHeight="12.8" customHeight="true" zeroHeight="false" outlineLevelRow="0" outlineLevelCol="0"/>
  <cols>
    <col collapsed="false" customWidth="true" hidden="false" outlineLevel="0" max="3" min="3" style="1" width="60.73"/>
    <col collapsed="false" customWidth="true" hidden="false" outlineLevel="0" max="5" min="5" style="1" width="36.51"/>
  </cols>
  <sheetData>
    <row r="1" customFormat="false" ht="12.8" hidden="false" customHeight="true" outlineLevel="0" collapsed="false">
      <c r="A1" s="2" t="s">
        <v>0</v>
      </c>
      <c r="B1" s="2" t="s">
        <v>1</v>
      </c>
      <c r="C1" s="2" t="s">
        <v>2</v>
      </c>
      <c r="D1" s="2" t="s">
        <v>3</v>
      </c>
      <c r="E1" s="2" t="s">
        <v>4</v>
      </c>
    </row>
    <row r="2" customFormat="false" ht="12.8" hidden="false" customHeight="false" outlineLevel="0" collapsed="false">
      <c r="A2" s="2" t="s">
        <v>5</v>
      </c>
      <c r="B2" s="1" t="s">
        <v>6</v>
      </c>
      <c r="C2" s="1" t="s">
        <v>7</v>
      </c>
    </row>
    <row r="3" customFormat="false" ht="12.8" hidden="false" customHeight="false" outlineLevel="0" collapsed="false">
      <c r="A3" s="2" t="s">
        <v>5</v>
      </c>
      <c r="B3" s="1" t="s">
        <v>8</v>
      </c>
      <c r="C3" s="1" t="s">
        <v>9</v>
      </c>
    </row>
    <row r="4" customFormat="false" ht="12.8" hidden="false" customHeight="false" outlineLevel="0" collapsed="false">
      <c r="A4" s="2" t="s">
        <v>5</v>
      </c>
      <c r="B4" s="1" t="s">
        <v>10</v>
      </c>
      <c r="C4" s="1" t="s">
        <v>11</v>
      </c>
    </row>
    <row r="5" customFormat="false" ht="12.8" hidden="false" customHeight="false" outlineLevel="0" collapsed="false">
      <c r="A5" s="1" t="s">
        <v>5</v>
      </c>
      <c r="B5" s="2" t="s">
        <v>12</v>
      </c>
      <c r="C5" s="2" t="s">
        <v>13</v>
      </c>
      <c r="D5" s="2"/>
      <c r="E5" s="2"/>
    </row>
    <row r="6" customFormat="false" ht="12.8" hidden="false" customHeight="false" outlineLevel="0" collapsed="false">
      <c r="A6" s="1" t="s">
        <v>5</v>
      </c>
      <c r="B6" s="1" t="s">
        <v>14</v>
      </c>
      <c r="C6" s="2" t="s">
        <v>15</v>
      </c>
      <c r="D6" s="1" t="n">
        <v>8</v>
      </c>
      <c r="E6" s="2"/>
    </row>
    <row r="7" customFormat="false" ht="12.8" hidden="false" customHeight="true" outlineLevel="0" collapsed="false">
      <c r="A7" s="1" t="s">
        <v>5</v>
      </c>
      <c r="B7" s="1" t="s">
        <v>16</v>
      </c>
      <c r="C7" s="1" t="s">
        <v>17</v>
      </c>
      <c r="D7" s="1" t="s">
        <v>18</v>
      </c>
    </row>
    <row r="8" customFormat="false" ht="12.8" hidden="false" customHeight="true" outlineLevel="0" collapsed="false">
      <c r="A8" s="1" t="s">
        <v>5</v>
      </c>
      <c r="B8" s="1" t="s">
        <v>19</v>
      </c>
      <c r="C8" s="1" t="s">
        <v>17</v>
      </c>
      <c r="D8" s="1" t="s">
        <v>20</v>
      </c>
    </row>
    <row r="9" customFormat="false" ht="12.8" hidden="false" customHeight="true" outlineLevel="0" collapsed="false">
      <c r="A9" s="1" t="s">
        <v>5</v>
      </c>
      <c r="B9" s="1" t="s">
        <v>21</v>
      </c>
      <c r="C9" s="1" t="s">
        <v>22</v>
      </c>
    </row>
    <row r="10" customFormat="false" ht="12.8" hidden="false" customHeight="true" outlineLevel="0" collapsed="false">
      <c r="A10" s="1" t="s">
        <v>23</v>
      </c>
      <c r="B10" s="1" t="s">
        <v>24</v>
      </c>
      <c r="C10" s="1" t="s">
        <v>25</v>
      </c>
    </row>
    <row r="11" customFormat="false" ht="12.8" hidden="false" customHeight="true" outlineLevel="0" collapsed="false">
      <c r="A11" s="1" t="s">
        <v>23</v>
      </c>
      <c r="B11" s="1" t="s">
        <v>26</v>
      </c>
      <c r="C11" s="1" t="s">
        <v>27</v>
      </c>
    </row>
    <row r="12" customFormat="false" ht="12.8" hidden="false" customHeight="true" outlineLevel="0" collapsed="false">
      <c r="A12" s="1" t="s">
        <v>28</v>
      </c>
      <c r="B12" s="1" t="s">
        <v>24</v>
      </c>
      <c r="C12" s="1" t="s">
        <v>29</v>
      </c>
    </row>
    <row r="13" customFormat="false" ht="12.8" hidden="false" customHeight="true" outlineLevel="0" collapsed="false">
      <c r="A13" s="1" t="s">
        <v>28</v>
      </c>
      <c r="B13" s="1" t="s">
        <v>30</v>
      </c>
      <c r="C13" s="1" t="s">
        <v>31</v>
      </c>
      <c r="D13" s="1" t="s">
        <v>32</v>
      </c>
    </row>
    <row r="14" customFormat="false" ht="12.8" hidden="false" customHeight="true" outlineLevel="0" collapsed="false">
      <c r="A14" s="1" t="s">
        <v>28</v>
      </c>
      <c r="B14" s="1" t="s">
        <v>30</v>
      </c>
      <c r="C14" s="1" t="s">
        <v>33</v>
      </c>
      <c r="D14" s="1" t="s">
        <v>34</v>
      </c>
      <c r="E14" s="1" t="s">
        <v>35</v>
      </c>
    </row>
    <row r="15" customFormat="false" ht="12.8" hidden="false" customHeight="true" outlineLevel="0" collapsed="false">
      <c r="A15" s="1" t="s">
        <v>28</v>
      </c>
      <c r="B15" s="1" t="s">
        <v>36</v>
      </c>
      <c r="C15" s="1" t="s">
        <v>37</v>
      </c>
      <c r="D15" s="1" t="n">
        <v>1</v>
      </c>
    </row>
    <row r="16" customFormat="false" ht="12.8" hidden="false" customHeight="true" outlineLevel="0" collapsed="false">
      <c r="A16" s="1" t="s">
        <v>28</v>
      </c>
      <c r="B16" s="1" t="s">
        <v>24</v>
      </c>
      <c r="C16" s="1" t="s">
        <v>29</v>
      </c>
    </row>
    <row r="17" customFormat="false" ht="12.8" hidden="false" customHeight="true" outlineLevel="0" collapsed="false">
      <c r="A17" s="1" t="s">
        <v>28</v>
      </c>
      <c r="B17" s="1" t="s">
        <v>26</v>
      </c>
      <c r="C17" s="1" t="s">
        <v>38</v>
      </c>
    </row>
    <row r="18" customFormat="false" ht="12.8" hidden="false" customHeight="true" outlineLevel="0" collapsed="false">
      <c r="A18" s="1" t="s">
        <v>39</v>
      </c>
      <c r="B18" s="1" t="s">
        <v>26</v>
      </c>
      <c r="C18" s="1" t="s">
        <v>40</v>
      </c>
    </row>
    <row r="19" customFormat="false" ht="12.8" hidden="false" customHeight="true" outlineLevel="0" collapsed="false">
      <c r="A19" s="1" t="s">
        <v>39</v>
      </c>
      <c r="B19" s="1" t="s">
        <v>24</v>
      </c>
      <c r="C19" s="1" t="s">
        <v>41</v>
      </c>
    </row>
    <row r="20" customFormat="false" ht="12.8" hidden="false" customHeight="true" outlineLevel="0" collapsed="false">
      <c r="A20" s="1" t="s">
        <v>39</v>
      </c>
      <c r="B20" s="1" t="s">
        <v>42</v>
      </c>
      <c r="C20" s="1" t="s">
        <v>43</v>
      </c>
    </row>
    <row r="21" customFormat="false" ht="12.8" hidden="false" customHeight="true" outlineLevel="0" collapsed="false">
      <c r="A21" s="1" t="s">
        <v>39</v>
      </c>
      <c r="B21" s="1" t="s">
        <v>44</v>
      </c>
      <c r="C21" s="1" t="s">
        <v>45</v>
      </c>
      <c r="D21" s="1" t="s">
        <v>46</v>
      </c>
    </row>
    <row r="22" customFormat="false" ht="12.8" hidden="false" customHeight="true" outlineLevel="0" collapsed="false">
      <c r="A22" s="1" t="s">
        <v>39</v>
      </c>
      <c r="B22" s="1" t="s">
        <v>30</v>
      </c>
      <c r="C22" s="1" t="s">
        <v>47</v>
      </c>
      <c r="D22" s="1" t="s">
        <v>34</v>
      </c>
      <c r="E22" s="1" t="s">
        <v>35</v>
      </c>
    </row>
    <row r="23" customFormat="false" ht="12.8" hidden="false" customHeight="true" outlineLevel="0" collapsed="false">
      <c r="A23" s="1" t="s">
        <v>39</v>
      </c>
      <c r="B23" s="1" t="s">
        <v>30</v>
      </c>
      <c r="C23" s="1" t="s">
        <v>48</v>
      </c>
      <c r="D23" s="1" t="s">
        <v>49</v>
      </c>
    </row>
    <row r="24" customFormat="false" ht="12.8" hidden="false" customHeight="true" outlineLevel="0" collapsed="false">
      <c r="A24" s="1" t="s">
        <v>39</v>
      </c>
      <c r="B24" s="1" t="s">
        <v>30</v>
      </c>
      <c r="C24" s="1" t="s">
        <v>50</v>
      </c>
      <c r="D24" s="1" t="s">
        <v>51</v>
      </c>
    </row>
    <row r="25" customFormat="false" ht="12.8" hidden="false" customHeight="true" outlineLevel="0" collapsed="false">
      <c r="A25" s="1" t="s">
        <v>39</v>
      </c>
      <c r="B25" s="1" t="s">
        <v>52</v>
      </c>
      <c r="C25" s="1" t="s">
        <v>45</v>
      </c>
      <c r="D25" s="1" t="s">
        <v>53</v>
      </c>
    </row>
    <row r="26" customFormat="false" ht="12.8" hidden="false" customHeight="true" outlineLevel="0" collapsed="false">
      <c r="A26" s="1" t="s">
        <v>39</v>
      </c>
      <c r="B26" s="1" t="s">
        <v>54</v>
      </c>
      <c r="C26" s="1" t="s">
        <v>55</v>
      </c>
      <c r="D26" s="1" t="s">
        <v>56</v>
      </c>
    </row>
    <row r="27" customFormat="false" ht="12.8" hidden="false" customHeight="true" outlineLevel="0" collapsed="false">
      <c r="A27" s="1" t="s">
        <v>39</v>
      </c>
      <c r="B27" s="1" t="s">
        <v>57</v>
      </c>
      <c r="C27" s="1" t="s">
        <v>58</v>
      </c>
      <c r="D27" s="1" t="s">
        <v>59</v>
      </c>
    </row>
    <row r="28" customFormat="false" ht="12.8" hidden="false" customHeight="true" outlineLevel="0" collapsed="false">
      <c r="A28" s="1" t="s">
        <v>60</v>
      </c>
      <c r="B28" s="1" t="s">
        <v>61</v>
      </c>
      <c r="C28" s="1" t="s">
        <v>62</v>
      </c>
    </row>
    <row r="29" customFormat="false" ht="12.8" hidden="false" customHeight="true" outlineLevel="0" collapsed="false">
      <c r="A29" s="1" t="s">
        <v>60</v>
      </c>
      <c r="B29" s="1" t="s">
        <v>52</v>
      </c>
      <c r="C29" s="1" t="s">
        <v>63</v>
      </c>
      <c r="D29" s="1" t="s">
        <v>64</v>
      </c>
    </row>
    <row r="30" customFormat="false" ht="12.8" hidden="false" customHeight="true" outlineLevel="0" collapsed="false">
      <c r="A30" s="1" t="s">
        <v>60</v>
      </c>
      <c r="B30" s="1" t="s">
        <v>30</v>
      </c>
      <c r="C30" s="1" t="s">
        <v>65</v>
      </c>
      <c r="D30" s="1" t="s">
        <v>32</v>
      </c>
    </row>
    <row r="31" customFormat="false" ht="12.8" hidden="false" customHeight="true" outlineLevel="0" collapsed="false">
      <c r="A31" s="1" t="s">
        <v>60</v>
      </c>
      <c r="B31" s="1" t="s">
        <v>66</v>
      </c>
      <c r="C31" s="1" t="s">
        <v>67</v>
      </c>
      <c r="D31" s="1" t="s">
        <v>68</v>
      </c>
    </row>
    <row r="32" customFormat="false" ht="12.8" hidden="false" customHeight="true" outlineLevel="0" collapsed="false">
      <c r="A32" s="1" t="s">
        <v>60</v>
      </c>
      <c r="B32" s="1" t="s">
        <v>69</v>
      </c>
      <c r="C32" s="1" t="s">
        <v>70</v>
      </c>
      <c r="D32" s="1" t="s">
        <v>71</v>
      </c>
    </row>
    <row r="33" customFormat="false" ht="12.8" hidden="false" customHeight="true" outlineLevel="0" collapsed="false">
      <c r="A33" s="1" t="s">
        <v>60</v>
      </c>
      <c r="B33" s="1" t="s">
        <v>72</v>
      </c>
      <c r="C33" s="1" t="s">
        <v>73</v>
      </c>
      <c r="D33" s="1" t="s">
        <v>74</v>
      </c>
    </row>
    <row r="34" customFormat="false" ht="12.8" hidden="false" customHeight="true" outlineLevel="0" collapsed="false">
      <c r="A34" s="1" t="s">
        <v>60</v>
      </c>
      <c r="B34" s="1" t="s">
        <v>75</v>
      </c>
      <c r="C34" s="1" t="s">
        <v>76</v>
      </c>
    </row>
    <row r="35" customFormat="false" ht="12.8" hidden="false" customHeight="true" outlineLevel="0" collapsed="false">
      <c r="A35" s="1" t="s">
        <v>60</v>
      </c>
      <c r="B35" s="1" t="s">
        <v>77</v>
      </c>
      <c r="C35" s="1" t="s">
        <v>78</v>
      </c>
      <c r="D35" s="2" t="s">
        <v>79</v>
      </c>
    </row>
    <row r="36" customFormat="false" ht="12.8" hidden="false" customHeight="true" outlineLevel="0" collapsed="false">
      <c r="A36" s="1" t="s">
        <v>60</v>
      </c>
      <c r="B36" s="1" t="s">
        <v>77</v>
      </c>
      <c r="C36" s="1" t="s">
        <v>80</v>
      </c>
      <c r="D36" s="1" t="s">
        <v>81</v>
      </c>
    </row>
    <row r="37" customFormat="false" ht="12.8" hidden="false" customHeight="true" outlineLevel="0" collapsed="false">
      <c r="A37" s="1" t="s">
        <v>60</v>
      </c>
      <c r="B37" s="1" t="s">
        <v>82</v>
      </c>
      <c r="C37" s="1" t="s">
        <v>83</v>
      </c>
    </row>
    <row r="38" customFormat="false" ht="12.8" hidden="false" customHeight="true" outlineLevel="0" collapsed="false">
      <c r="A38" s="1" t="s">
        <v>60</v>
      </c>
      <c r="B38" s="1" t="s">
        <v>84</v>
      </c>
      <c r="C38" s="1" t="s">
        <v>85</v>
      </c>
    </row>
    <row r="39" customFormat="false" ht="12.8" hidden="false" customHeight="true" outlineLevel="0" collapsed="false">
      <c r="A39" s="1" t="s">
        <v>60</v>
      </c>
      <c r="B39" s="1" t="s">
        <v>24</v>
      </c>
      <c r="C39" s="1" t="s">
        <v>86</v>
      </c>
    </row>
    <row r="40" customFormat="false" ht="12.8" hidden="false" customHeight="true" outlineLevel="0" collapsed="false">
      <c r="A40" s="1" t="s">
        <v>60</v>
      </c>
      <c r="B40" s="1" t="s">
        <v>26</v>
      </c>
      <c r="C40" s="1" t="s">
        <v>87</v>
      </c>
    </row>
    <row r="41" customFormat="false" ht="12.8" hidden="false" customHeight="true" outlineLevel="0" collapsed="false">
      <c r="A41" s="1" t="s">
        <v>60</v>
      </c>
      <c r="B41" s="1" t="s">
        <v>88</v>
      </c>
      <c r="C41" s="1" t="s">
        <v>89</v>
      </c>
      <c r="D41" s="1" t="s">
        <v>90</v>
      </c>
    </row>
    <row r="42" customFormat="false" ht="12.8" hidden="false" customHeight="true" outlineLevel="0" collapsed="false">
      <c r="A42" s="1" t="s">
        <v>60</v>
      </c>
      <c r="B42" s="1" t="s">
        <v>30</v>
      </c>
      <c r="C42" s="1" t="s">
        <v>89</v>
      </c>
      <c r="D42" s="1" t="s">
        <v>91</v>
      </c>
    </row>
    <row r="43" customFormat="false" ht="12.8" hidden="false" customHeight="true" outlineLevel="0" collapsed="false">
      <c r="A43" s="1" t="s">
        <v>60</v>
      </c>
      <c r="B43" s="1" t="s">
        <v>92</v>
      </c>
      <c r="C43" s="1" t="s">
        <v>93</v>
      </c>
      <c r="D43" s="1" t="s">
        <v>94</v>
      </c>
    </row>
    <row r="44" customFormat="false" ht="12.8" hidden="false" customHeight="true" outlineLevel="0" collapsed="false">
      <c r="A44" s="1" t="s">
        <v>60</v>
      </c>
      <c r="B44" s="1" t="s">
        <v>95</v>
      </c>
      <c r="C44" s="1" t="s">
        <v>96</v>
      </c>
    </row>
    <row r="45" customFormat="false" ht="12.8" hidden="false" customHeight="true" outlineLevel="0" collapsed="false">
      <c r="A45" s="1" t="s">
        <v>60</v>
      </c>
      <c r="B45" s="1" t="s">
        <v>36</v>
      </c>
      <c r="C45" s="1" t="s">
        <v>97</v>
      </c>
    </row>
  </sheetData>
  <autoFilter ref="A1:E17"/>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3" zoomScaleNormal="93" zoomScalePageLayoutView="100" workbookViewId="0">
      <selection pane="topLeft" activeCell="F38" activeCellId="0" sqref="F38"/>
    </sheetView>
  </sheetViews>
  <sheetFormatPr defaultColWidth="11.53515625" defaultRowHeight="12.8" customHeight="tru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3"/>
  <sheetViews>
    <sheetView showFormulas="false" showGridLines="true" showRowColHeaders="true" showZeros="true" rightToLeft="false" tabSelected="true" showOutlineSymbols="true" defaultGridColor="true" view="normal" topLeftCell="A1" colorId="64" zoomScale="93" zoomScaleNormal="93" zoomScalePageLayoutView="100" workbookViewId="0">
      <selection pane="topLeft" activeCell="C14" activeCellId="0" sqref="C14"/>
    </sheetView>
  </sheetViews>
  <sheetFormatPr defaultColWidth="11.53515625" defaultRowHeight="12.8" customHeight="true" zeroHeight="false" outlineLevelRow="0" outlineLevelCol="0"/>
  <cols>
    <col collapsed="false" customWidth="true" hidden="false" outlineLevel="0" max="3" min="3" style="2" width="33.26"/>
    <col collapsed="false" customWidth="true" hidden="false" outlineLevel="0" max="4" min="4" style="2" width="22.57"/>
    <col collapsed="false" customWidth="true" hidden="false" outlineLevel="0" max="6" min="6" style="2" width="31.76"/>
    <col collapsed="false" customWidth="false" hidden="true" outlineLevel="0" max="7" min="7" style="2" width="11.53"/>
    <col collapsed="false" customWidth="true" hidden="false" outlineLevel="0" max="9" min="9" style="2" width="14.23"/>
    <col collapsed="false" customWidth="false" hidden="true" outlineLevel="0" max="11" min="11" style="2" width="11.53"/>
  </cols>
  <sheetData>
    <row r="2" customFormat="false" ht="12.8" hidden="false" customHeight="false" outlineLevel="0" collapsed="false">
      <c r="B2" s="3"/>
      <c r="C2" s="3"/>
      <c r="D2" s="2" t="s">
        <v>98</v>
      </c>
      <c r="F2" s="2" t="s">
        <v>99</v>
      </c>
    </row>
    <row r="3" customFormat="false" ht="12.8" hidden="false" customHeight="true" outlineLevel="0" collapsed="false">
      <c r="B3" s="4"/>
      <c r="C3" s="5" t="s">
        <v>100</v>
      </c>
      <c r="D3" s="5"/>
    </row>
    <row r="4" customFormat="false" ht="12.8" hidden="false" customHeight="false" outlineLevel="0" collapsed="false">
      <c r="B4" s="2" t="s">
        <v>101</v>
      </c>
      <c r="C4" s="5"/>
      <c r="D4" s="5"/>
    </row>
    <row r="5" customFormat="false" ht="12.8" hidden="true" customHeight="false" outlineLevel="0" collapsed="false">
      <c r="B5" s="2"/>
    </row>
    <row r="7" customFormat="false" ht="12.8" hidden="false" customHeight="true" outlineLevel="0" collapsed="false">
      <c r="C7" s="2" t="s">
        <v>102</v>
      </c>
      <c r="D7" s="6" t="n">
        <v>45139</v>
      </c>
      <c r="F7" s="7" t="s">
        <v>103</v>
      </c>
      <c r="H7" s="2" t="s">
        <v>104</v>
      </c>
    </row>
    <row r="8" customFormat="false" ht="12.8" hidden="false" customHeight="false" outlineLevel="0" collapsed="false">
      <c r="C8" s="2" t="s">
        <v>105</v>
      </c>
      <c r="D8" s="8" t="n">
        <f aca="true">NOW()</f>
        <v>46015.5162647217</v>
      </c>
      <c r="E8" s="8"/>
      <c r="F8" s="7"/>
    </row>
    <row r="9" customFormat="false" ht="12.8" hidden="false" customHeight="false" outlineLevel="0" collapsed="false">
      <c r="F9" s="7"/>
    </row>
    <row r="10" customFormat="false" ht="12.8" hidden="false" customHeight="false" outlineLevel="0" collapsed="false">
      <c r="D10" s="2" t="n">
        <f aca="false">D11</f>
        <v>3</v>
      </c>
      <c r="F10" s="7"/>
      <c r="I10" s="2" t="n">
        <v>53</v>
      </c>
    </row>
    <row r="11" customFormat="false" ht="12.8" hidden="false" customHeight="false" outlineLevel="0" collapsed="false">
      <c r="C11" s="2" t="s">
        <v>106</v>
      </c>
      <c r="D11" s="2" t="n">
        <f aca="false">2+1</f>
        <v>3</v>
      </c>
      <c r="F11" s="7"/>
    </row>
    <row r="12" customFormat="false" ht="12.8" hidden="false" customHeight="false" outlineLevel="0" collapsed="false">
      <c r="C12" s="2" t="s">
        <v>107</v>
      </c>
      <c r="D12" s="2" t="n">
        <f aca="false">2+1</f>
        <v>3</v>
      </c>
      <c r="F12" s="2" t="s">
        <v>108</v>
      </c>
      <c r="H12" s="2" t="e">
        <f aca="false">I10+hidden_formula_error!B7</f>
        <v>#VALUE!</v>
      </c>
    </row>
    <row r="14" customFormat="false" ht="12.8" hidden="false" customHeight="false" outlineLevel="0" collapsed="false">
      <c r="C14" s="2" t="n">
        <f aca="false" t="array" ref="C14:D14">{1,2}</f>
        <v>1</v>
      </c>
      <c r="D14" s="2" t="n">
        <v>2</v>
      </c>
      <c r="J14" s="2" t="e">
        <f aca="false">#REF!+5</f>
        <v>#REF!</v>
      </c>
    </row>
    <row r="15" customFormat="false" ht="12.8" hidden="false" customHeight="false" outlineLevel="0" collapsed="false">
      <c r="C15" s="2" t="n">
        <f aca="false" t="array" ref="C15:D15">C14:D14*2</f>
        <v>2</v>
      </c>
      <c r="D15" s="2" t="n">
        <v>4</v>
      </c>
      <c r="J15" s="2" t="e">
        <f aca="false">5/0</f>
        <v>#DIV/0!</v>
      </c>
    </row>
    <row r="18" customFormat="false" ht="12.8" hidden="false" customHeight="false" outlineLevel="0" collapsed="false">
      <c r="I18" s="2" t="s">
        <v>109</v>
      </c>
      <c r="J18" s="2" t="e">
        <f aca="false">3+J14</f>
        <v>#REF!</v>
      </c>
    </row>
    <row r="19" customFormat="false" ht="12.8" hidden="false" customHeight="false" outlineLevel="0" collapsed="false">
      <c r="I19" s="2" t="s">
        <v>110</v>
      </c>
      <c r="J19" s="2" t="e">
        <f aca="false">0.6*J18</f>
        <v>#REF!</v>
      </c>
    </row>
    <row r="22" customFormat="false" ht="12.8" hidden="false" customHeight="false" outlineLevel="0" collapsed="false">
      <c r="I22" s="2" t="s">
        <v>111</v>
      </c>
      <c r="J22" s="2" t="e">
        <f aca="false">I10-K22</f>
        <v>#VALUE!</v>
      </c>
      <c r="K22" s="2" t="e">
        <f aca="false">3+J23-I10</f>
        <v>#VALUE!</v>
      </c>
    </row>
    <row r="23" customFormat="false" ht="12.8" hidden="false" customHeight="false" outlineLevel="0" collapsed="false">
      <c r="J23" s="2" t="e">
        <f aca="false">2*K22</f>
        <v>#VALUE!</v>
      </c>
    </row>
  </sheetData>
  <mergeCells count="3">
    <mergeCell ref="B2:C2"/>
    <mergeCell ref="C3:D4"/>
    <mergeCell ref="F7:F1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D8"/>
  <sheetViews>
    <sheetView showFormulas="false" showGridLines="true" showRowColHeaders="true" showZeros="true" rightToLeft="false" tabSelected="false" showOutlineSymbols="true" defaultGridColor="true" view="normal" topLeftCell="A1" colorId="64" zoomScale="93" zoomScaleNormal="93" zoomScalePageLayoutView="100" workbookViewId="0">
      <selection pane="topLeft" activeCell="A5" activeCellId="0" sqref="A5"/>
    </sheetView>
  </sheetViews>
  <sheetFormatPr defaultColWidth="11.53515625" defaultRowHeight="12.8" customHeight="true" zeroHeight="false" outlineLevelRow="0" outlineLevelCol="0"/>
  <sheetData>
    <row r="3" customFormat="false" ht="12.8" hidden="false" customHeight="false" outlineLevel="0" collapsed="false">
      <c r="B3" s="2" t="e">
        <f aca="false">casa()</f>
        <v>#NAME?</v>
      </c>
    </row>
    <row r="4" customFormat="false" ht="12.8" hidden="false" customHeight="false" outlineLevel="0" collapsed="false">
      <c r="D4" s="2" t="e">
        <f aca="false">'Indexing tests'!H12</f>
        <v>#VALUE!</v>
      </c>
    </row>
    <row r="6" customFormat="false" ht="12.8" hidden="true" customHeight="false" outlineLevel="0" collapsed="false"/>
    <row r="7" customFormat="false" ht="12.8" hidden="false" customHeight="false" outlineLevel="0" collapsed="false">
      <c r="B7" s="2" t="e">
        <f aca="false">D4+1</f>
        <v>#VALUE!</v>
      </c>
      <c r="D7" s="2" t="s">
        <v>112</v>
      </c>
    </row>
    <row r="8" customFormat="false" ht="12.8" hidden="false" customHeight="false" outlineLevel="0" collapsed="false">
      <c r="D8" s="2" t="s">
        <v>113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3" zoomScaleNormal="93" zoomScalePageLayoutView="100" workbookViewId="0">
      <selection pane="topLeft" activeCell="A1" activeCellId="0" sqref="A1"/>
    </sheetView>
  </sheetViews>
  <sheetFormatPr defaultColWidth="11.53515625" defaultRowHeight="12.8" customHeight="tru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R63"/>
  <sheetViews>
    <sheetView showFormulas="false" showGridLines="true" showRowColHeaders="true" showZeros="true" rightToLeft="false" tabSelected="false" showOutlineSymbols="true" defaultGridColor="true" view="normal" topLeftCell="A1" colorId="64" zoomScale="93" zoomScaleNormal="93" zoomScalePageLayoutView="100" workbookViewId="0">
      <selection pane="topLeft" activeCell="H9" activeCellId="0" sqref="H9"/>
    </sheetView>
  </sheetViews>
  <sheetFormatPr defaultColWidth="11.53515625" defaultRowHeight="12.8" customHeight="true" zeroHeight="false" outlineLevelRow="0" outlineLevelCol="0"/>
  <cols>
    <col collapsed="false" customWidth="true" hidden="false" outlineLevel="0" max="2" min="2" style="2" width="21.28"/>
    <col collapsed="false" customWidth="true" hidden="false" outlineLevel="0" max="3" min="3" style="2" width="29.39"/>
    <col collapsed="false" customWidth="false" hidden="true" outlineLevel="0" max="14" min="14" style="2" width="11.53"/>
  </cols>
  <sheetData>
    <row r="3" customFormat="false" ht="12.8" hidden="false" customHeight="false" outlineLevel="0" collapsed="false">
      <c r="B3" s="2" t="s">
        <v>114</v>
      </c>
      <c r="C3" s="9" t="n">
        <v>5.3</v>
      </c>
    </row>
    <row r="4" customFormat="false" ht="12.8" hidden="false" customHeight="false" outlineLevel="0" collapsed="false">
      <c r="B4" s="2" t="s">
        <v>115</v>
      </c>
      <c r="C4" s="10" t="n">
        <v>-8.4</v>
      </c>
    </row>
    <row r="5" customFormat="false" ht="12.8" hidden="false" customHeight="false" outlineLevel="0" collapsed="false">
      <c r="B5" s="2" t="s">
        <v>116</v>
      </c>
      <c r="C5" s="11" t="n">
        <v>0.68</v>
      </c>
      <c r="G5" s="2" t="s">
        <v>117</v>
      </c>
      <c r="H5" s="12" t="n">
        <f aca="false">SUM(numbers_used)</f>
        <v>77430.58</v>
      </c>
      <c r="J5" s="2" t="s">
        <v>118</v>
      </c>
      <c r="M5" s="2" t="s">
        <v>119</v>
      </c>
      <c r="N5" s="2" t="e">
        <f aca="false">casa()</f>
        <v>#NAME?</v>
      </c>
    </row>
    <row r="6" customFormat="false" ht="12.8" hidden="false" customHeight="false" outlineLevel="0" collapsed="false">
      <c r="B6" s="2" t="s">
        <v>120</v>
      </c>
      <c r="C6" s="13" t="n">
        <v>7854</v>
      </c>
      <c r="G6" s="2" t="s">
        <v>121</v>
      </c>
      <c r="H6" s="2" t="s">
        <v>122</v>
      </c>
      <c r="I6" s="2" t="s">
        <v>79</v>
      </c>
      <c r="J6" s="2" t="n">
        <f aca="false">[1]Sheet1!B3</f>
        <v>8</v>
      </c>
    </row>
    <row r="7" customFormat="false" ht="12.8" hidden="false" customHeight="true" outlineLevel="0" collapsed="false">
      <c r="G7" s="2" t="s">
        <v>123</v>
      </c>
      <c r="H7" s="2" t="str">
        <f aca="false">IF(I7="", "Y","N")</f>
        <v>Y</v>
      </c>
      <c r="K7" s="2" t="s">
        <v>124</v>
      </c>
      <c r="L7" s="2" t="n">
        <f aca="false">IF(H7="Y", 1,IF(H8="Y",2,IF(C4&lt;0,3,4)))</f>
        <v>1</v>
      </c>
    </row>
    <row r="8" customFormat="false" ht="12.8" hidden="false" customHeight="false" outlineLevel="0" collapsed="false">
      <c r="B8" s="2" t="s">
        <v>125</v>
      </c>
      <c r="C8" s="9" t="s">
        <v>126</v>
      </c>
      <c r="G8" s="2" t="s">
        <v>127</v>
      </c>
      <c r="H8" s="2" t="str">
        <f aca="false">IF(I8="", "Y","N")</f>
        <v>Y</v>
      </c>
      <c r="I8" s="2" t="str">
        <f aca="false">""</f>
        <v/>
      </c>
    </row>
    <row r="9" customFormat="false" ht="12.8" hidden="false" customHeight="false" outlineLevel="0" collapsed="false">
      <c r="B9" s="2" t="s">
        <v>128</v>
      </c>
      <c r="C9" s="14" t="n">
        <v>36433</v>
      </c>
      <c r="G9" s="1" t="s">
        <v>129</v>
      </c>
      <c r="H9" s="1" t="str">
        <f aca="false">IF(LEN(I9)=0,"Y","N")</f>
        <v>Y</v>
      </c>
    </row>
    <row r="10" customFormat="false" ht="12.8" hidden="false" customHeight="false" outlineLevel="0" collapsed="false">
      <c r="B10" s="2" t="s">
        <v>130</v>
      </c>
      <c r="C10" s="12" t="n">
        <v>33146</v>
      </c>
      <c r="G10" s="1" t="s">
        <v>131</v>
      </c>
      <c r="H10" s="1" t="e">
        <f aca="false">VLOOKUP(K10="Number as text",B3:C6,2)</f>
        <v>#N/A</v>
      </c>
      <c r="K10" s="2"/>
    </row>
    <row r="12" customFormat="false" ht="12.8" hidden="false" customHeight="false" outlineLevel="0" collapsed="false">
      <c r="B12" s="2" t="s">
        <v>132</v>
      </c>
      <c r="G12" s="2" t="s">
        <v>133</v>
      </c>
      <c r="H12" s="2" t="s">
        <v>134</v>
      </c>
      <c r="I12" s="2" t="s">
        <v>135</v>
      </c>
      <c r="J12" s="15" t="s">
        <v>136</v>
      </c>
      <c r="K12" s="15"/>
      <c r="L12" s="15"/>
    </row>
    <row r="13" customFormat="false" ht="12.8" hidden="false" customHeight="false" outlineLevel="0" collapsed="false">
      <c r="E13" s="2" t="s">
        <v>137</v>
      </c>
      <c r="F13" s="2" t="s">
        <v>138</v>
      </c>
      <c r="G13" s="2" t="str">
        <f aca="false">_xlfn.CONCAT("Lorem ipsum dolor sit amet, consectetuer adipiscing elit. Aenean commodo ligula eget dolor. Aenean massa. Cum sociis natoque penatibus et magnis dis parturient montes, nascetur ridiculus mus. Donec quam felis, ultricies nec, pellentesque eu, pretium quis, sem. Nulla consequat massa quis enim. Donec pede justo, fringilla vel, aliquet nec, vulputate eget, arcu. In enim justo, rhoncus ut, imperdiet a, venenatis vitae, justo. Nullam dictum felis eu pede mollis pretium. Integer tincidunt. Cras dapibus. Vivamus elementum semper nisi. Aenean vulputate eleifend tellus. Aenean leo ligula, porttitor eu, consequat vitae, eleifend ac, enim. Aliquam lorem ante, dapibus in, viverra quis, feugiat a, tellus. Phasellus viverra nulla ut metus varius laoreet. Quisque rutrum. Aenean imperdiet. Etiam ultricies nisi vel augue. Curabitur ullamcorper ultricies nisi. Nam eget dui. Etiam rhoncus. Maecenas tempus, tellus eget condimentum rhoncus, sem quam semper libero, sit amet adipiscing sem neque sed ipsum. Nam quam nunc, blandit ","55")</f>
        <v>Lorem ipsum dolor sit amet, consectetuer adipiscing elit. Aenean commodo ligula eget dolor. Aenean massa. Cum sociis natoque penatibus et magnis dis parturient montes, nascetur ridiculus mus. Donec quam felis, ultricies nec, pellentesque eu, pretium quis, sem. Nulla consequat massa quis enim. Donec pede justo, fringilla vel, aliquet nec, vulputate eget, arcu. In enim justo, rhoncus ut, imperdiet a, venenatis vitae, justo. Nullam dictum felis eu pede mollis pretium. Integer tincidunt. Cras dapibus. Vivamus elementum semper nisi. Aenean vulputate eleifend tellus. Aenean leo ligula, porttitor eu, consequat vitae, eleifend ac, enim. Aliquam lorem ante, dapibus in, viverra quis, feugiat a, tellus. Phasellus viverra nulla ut metus varius laoreet. Quisque rutrum. Aenean imperdiet. Etiam ultricies nisi vel augue. Curabitur ullamcorper ultricies nisi. Nam eget dui. Etiam rhoncus. Maecenas tempus, tellus eget condimentum rhoncus, sem quam semper libero, sit amet adipiscing sem neque sed ipsum. Nam quam nunc, blandit 55</v>
      </c>
      <c r="H13" s="1" t="n">
        <f aca="false">SUM(C:C)</f>
        <v>77430.58</v>
      </c>
      <c r="I13" s="1" t="n">
        <f aca="false">MAX(MAX(MAX(MAX(MAX(5,3),1),6),8),8)</f>
        <v>8</v>
      </c>
      <c r="J13" s="1" t="n">
        <f aca="false">I13*0.35</f>
        <v>2.8</v>
      </c>
      <c r="K13" s="1" t="n">
        <f aca="false">-5.3*H13+10*I13</f>
        <v>-410302.074</v>
      </c>
      <c r="L13" s="1" t="n">
        <f aca="false">5+I13</f>
        <v>13</v>
      </c>
    </row>
    <row r="14" customFormat="false" ht="1896.95" hidden="false" customHeight="false" outlineLevel="0" collapsed="false">
      <c r="E14" s="16" t="s">
        <v>139</v>
      </c>
    </row>
    <row r="63" customFormat="false" ht="12.8" hidden="false" customHeight="true" outlineLevel="0" collapsed="false">
      <c r="R63" s="17"/>
    </row>
  </sheetData>
  <mergeCells count="1">
    <mergeCell ref="J12:L12"/>
  </mergeCells>
  <conditionalFormatting sqref="H13:I13">
    <cfRule type="cellIs" priority="2" operator="equal" aboveAverage="0" equalAverage="0" bottom="0" percent="0" rank="0" text="" dxfId="1">
      <formula>8</formula>
    </cfRule>
  </conditionalFormatting>
  <conditionalFormatting sqref="J13:L13">
    <cfRule type="cellIs" priority="3" operator="lessThan" aboveAverage="0" equalAverage="0" bottom="0" percent="0" rank="0" text="" dxfId="2">
      <formula>0</formula>
    </cfRule>
  </conditionalFormatting>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tableParts>
    <tablePart r:id="rId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93" zoomScaleNormal="93" zoomScalePageLayoutView="100" workbookViewId="0">
      <selection pane="topLeft" activeCell="A8" activeCellId="0" sqref="A8"/>
    </sheetView>
  </sheetViews>
  <sheetFormatPr defaultColWidth="11.53515625" defaultRowHeight="12.8" customHeight="true" zeroHeight="false" outlineLevelRow="0" outlineLevelCol="0"/>
  <cols>
    <col collapsed="false" customWidth="true" hidden="false" outlineLevel="0" max="2" min="2" style="1" width="13.15"/>
    <col collapsed="false" customWidth="false" hidden="true" outlineLevel="0" max="7" min="7" style="2" width="11.53"/>
  </cols>
  <sheetData>
    <row r="1" customFormat="false" ht="12.8" hidden="false" customHeight="false" outlineLevel="0" collapsed="false">
      <c r="A1" s="2" t="s">
        <v>140</v>
      </c>
    </row>
    <row r="3" customFormat="false" ht="12.8" hidden="false" customHeight="true" outlineLevel="0" collapsed="false">
      <c r="B3" s="2" t="s">
        <v>141</v>
      </c>
    </row>
    <row r="5" customFormat="false" ht="12.8" hidden="false" customHeight="false" outlineLevel="0" collapsed="false">
      <c r="D5" s="2" t="s">
        <v>142</v>
      </c>
    </row>
    <row r="6" customFormat="false" ht="12.8" hidden="false" customHeight="false" outlineLevel="0" collapsed="false">
      <c r="D6" s="2" t="s">
        <v>143</v>
      </c>
    </row>
    <row r="7" customFormat="false" ht="12.8" hidden="true" customHeight="false" outlineLevel="0" collapsed="false"/>
  </sheetData>
  <dataValidations count="2">
    <dataValidation allowBlank="true" errorStyle="stop" operator="equal" showDropDown="false" showErrorMessage="true" showInputMessage="false" sqref="A3" type="list">
      <formula1>"Excel,Calc,GSheet"</formula1>
      <formula2>0</formula2>
    </dataValidation>
    <dataValidation allowBlank="true" errorStyle="stop" operator="equal" showDropDown="false" showErrorMessage="true" showInputMessage="false" sqref="B3" type="whol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3" zoomScaleNormal="93" zoomScalePageLayoutView="100" workbookViewId="0">
      <selection pane="topLeft" activeCell="A1" activeCellId="0" sqref="A1"/>
    </sheetView>
  </sheetViews>
  <sheetFormatPr defaultColWidth="11.53515625" defaultRowHeight="12.8" customHeight="true"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438</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2025-12-22T10:22:16Z</dcterms:created>
  <dc:creator/>
  <dc:description/>
  <dc:language>es-MX</dc:language>
  <cp:lastModifiedBy/>
  <dcterms:modified xsi:type="dcterms:W3CDTF">2025-12-24T12:23:35Z</dcterms:modified>
  <cp:revision>51</cp:revision>
  <dc:subject/>
  <dc:title/>
</cp:coreProperties>
</file>

<file path=docProps/custom.xml><?xml version="1.0" encoding="utf-8"?>
<Properties xmlns="http://schemas.openxmlformats.org/officeDocument/2006/custom-properties" xmlns:vt="http://schemas.openxmlformats.org/officeDocument/2006/docPropsVTypes"/>
</file>